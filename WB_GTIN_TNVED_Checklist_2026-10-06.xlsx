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ONG_DAN" sheetId="1" r:id="rId1"/>
    <sheet name="SKU_GOC" sheetId="2" r:id="rId2"/>
    <sheet name="DOI_CHIEU" sheetId="3" r:id="rId3"/>
    <sheet name="CHUNG_TU" sheetId="4" r:id="rId4"/>
    <sheet name="MA_TUNG_CHIEC" sheetId="5" r:id="rId5"/>
    <sheet name="CHECKLIST" sheetId="6" r:id="rId6"/>
    <sheet name="NGUON" sheetId="7" r:id="rId7"/>
    <sheet name="VI_DU" sheetId="8" r:id="rId8"/>
  </sheets>
  <definedNames>
    <definedName name="_xlnm._FilterDatabase" localSheetId="5" hidden="1">CHECKLIST!$A$5:$J$40</definedName>
    <definedName name="_xlnm._FilterDatabase" localSheetId="3" hidden="1">CHUNG_TU!$A$5:$AB$105</definedName>
    <definedName name="_xlnm._FilterDatabase" localSheetId="2" hidden="1">DOI_CHIEU!$A$5:$AE$105</definedName>
    <definedName name="_xlnm._FilterDatabase" localSheetId="4" hidden="1">MA_TUNG_CHIEC!$A$5:$X$105</definedName>
    <definedName name="_xlnm._FilterDatabase" localSheetId="6" hidden="1">NGUON!$A$5:$E$25</definedName>
    <definedName name="_xlnm._FilterDatabase" localSheetId="1" hidden="1">SKU_GOC!$A$5:$AP$105</definedName>
    <definedName name="_xlnm._FilterDatabase" localSheetId="7" hidden="1">VI_DU!$A$5:$H$12</definedName>
    <definedName name="_xlnm.Print_Area" localSheetId="5">CHECKLIST!$A$1:$J$40</definedName>
    <definedName name="_xlnm.Print_Area" localSheetId="3">CHUNG_TU!$A$1:$AB$105</definedName>
    <definedName name="_xlnm.Print_Area" localSheetId="2">DOI_CHIEU!$A$1:$AE$105</definedName>
    <definedName name="_xlnm.Print_Area" localSheetId="0">HUONG_DAN!$A$1:$H$32</definedName>
    <definedName name="_xlnm.Print_Area" localSheetId="4">MA_TUNG_CHIEC!$A$1:$X$105</definedName>
    <definedName name="_xlnm.Print_Area" localSheetId="6">NGUON!$A$1:$E$25</definedName>
    <definedName name="_xlnm.Print_Area" localSheetId="1">SKU_GOC!$A$1:$AP$105</definedName>
    <definedName name="_xlnm.Print_Area" localSheetId="7">VI_DU!$A$1:$H$16</definedName>
    <definedName name="_xlnm.Print_Titles" localSheetId="5">CHECKLIST!$1:$5</definedName>
    <definedName name="_xlnm.Print_Titles" localSheetId="3">CHUNG_TU!$1:$5</definedName>
    <definedName name="_xlnm.Print_Titles" localSheetId="2">DOI_CHIEU!$1:$5</definedName>
    <definedName name="_xlnm.Print_Titles" localSheetId="4">MA_TUNG_CHIEC!$1:$5</definedName>
    <definedName name="_xlnm.Print_Titles" localSheetId="6">NGUON!$1:$5</definedName>
    <definedName name="_xlnm.Print_Titles" localSheetId="1">SKU_GOC!$1:$5</definedName>
    <definedName name="_xlnm.Print_Titles" localSheetId="7">VI_DU!$1:$5</definedName>
  </definedNames>
  <calcPr calcId="124519" fullCalcOnLoad="1"/>
</workbook>
</file>

<file path=xl/comments1.xml><?xml version="1.0" encoding="utf-8"?>
<comments xmlns="http://schemas.openxmlformats.org/spreadsheetml/2006/main">
  <authors>
    <author/>
  </authors>
  <commentList>
    <comment ref="I5" authorId="0">
      <text>
        <r>
          <rPr>
            <sz val="8"/>
            <color indexed="81"/>
            <rFont val="Tahoma"/>
            <family val="2"/>
          </rPr>
          <t>Chỉ nhập sợi của vải chính ở I:N. Ví dụ vải chính cotton 70%, polyester 25%, elastane 5%; lớp lót polyester 100% ghi riêng, không cộng thành 200%.</t>
        </r>
      </text>
    </comment>
    <comment ref="W5" authorId="0">
      <text>
        <r>
          <rPr>
            <sz val="8"/>
            <color indexed="81"/>
            <rFont val="Tahoma"/>
            <family val="2"/>
          </rPr>
          <t>Chỉ ghi mã phân loại đã xác định theo hồ sơ và đặc tính thật; không tự nối 0 cho đủ 10 chữ số.</t>
        </r>
      </text>
    </comment>
  </commentList>
</comments>
</file>

<file path=xl/comments2.xml><?xml version="1.0" encoding="utf-8"?>
<comments xmlns="http://schemas.openxmlformats.org/spreadsheetml/2006/main">
  <authors>
    <author/>
  </authors>
  <commentList>
    <comment ref="D5" authorId="0">
      <text>
        <r>
          <rPr>
            <sz val="8"/>
            <color indexed="81"/>
            <rFont val="Tahoma"/>
            <family val="2"/>
          </rPr>
          <t>Chỉ nhập 14 chữ số sau mã ứng dụng 01. Không nhập 01, (01), serial 21 hoặc crypto tail vào đây. Giữ DataMatrix đầy đủ ở MA_TUNG_CHIEC/file gốc.</t>
        </r>
      </text>
    </comment>
    <comment ref="F5" authorId="0">
      <text>
        <r>
          <rPr>
            <sz val="8"/>
            <color indexed="81"/>
            <rFont val="Tahoma"/>
            <family val="2"/>
          </rPr>
          <t>Nếu thẻ có nhiều mã, dùng đúng GTIN của biến thể đang đối chiếu. Trường bổ sung không cho phép tự dùng chung GTIN cho các hàng thực sự khác nhau.</t>
        </r>
      </text>
    </comment>
    <comment ref="H5" authorId="0">
      <text>
        <r>
          <rPr>
            <sz val="8"/>
            <color indexed="81"/>
            <rFont val="Tahoma"/>
            <family val="2"/>
          </rPr>
          <t>Nhập mã đầy đủ 10 số đã xác định cho SKU dựa trên hồ sơ và đặc tính hàng. Không chép mã nhóm 4/6 số từ giấy vào ô này rồi kết luận giấy sai; phạm vi giấy tờ cần xét về nội dung.</t>
        </r>
      </text>
    </comment>
  </commentList>
</comments>
</file>

<file path=xl/comments3.xml><?xml version="1.0" encoding="utf-8"?>
<comments xmlns="http://schemas.openxmlformats.org/spreadsheetml/2006/main">
  <authors>
    <author/>
  </authors>
  <commentList>
    <comment ref="D5" authorId="0">
      <text>
        <r>
          <rPr>
            <sz val="8"/>
            <color indexed="81"/>
            <rFont val="Tahoma"/>
            <family val="2"/>
          </rPr>
          <t>Không chuyển DataMatrix thành QR hay GTIN. Công thức trùng mã phân biệt chữ hoa/thường và chỉ kiểm 100 dòng có sẵn. Nếu lưu bằng link file, cảnh báo chỉ so link, không so nội dung file.</t>
        </r>
      </text>
    </comment>
  </commentList>
</comments>
</file>

<file path=xl/sharedStrings.xml><?xml version="1.0" encoding="utf-8"?>
<sst xmlns="http://schemas.openxmlformats.org/spreadsheetml/2006/main" count="492" uniqueCount="372">
  <si>
    <t>WB • GTIN • TN VED
Bộ kiểm tra đăng bán hàng may mặc tại Nga</t>
  </si>
  <si>
    <t>MẪU QUẢN LÝ NỘI BỘ • cập nhật ngày 06/10/2026
Không phải mẫu Excel tải trực tiếp lên Wildberries, GS1 hoặc Национальный каталог. Không có dữ liệu thật được điền sẵn.</t>
  </si>
  <si>
    <t>PHẠM VI &amp; THAY ĐỔI MỚI</t>
  </si>
  <si>
    <t>Phạm vi</t>
  </si>
  <si>
    <t>Dành cho hàng may mặc bán tại Nga. Xác định đúng loại hàng, tuổi, giới tính pháp lý, vật liệu, xuất xứ và mô hình FBW/FBS trước khi dùng.</t>
  </si>
  <si>
    <t>Từ 01/10/2026</t>
  </si>
  <si>
    <t>WB kiểm tra GTIN của hàng thuộc diện маркировка qua ГИС МТ. Khai GTIN hợp lệ trong «Баркоды» hoặc trường bổ sung phù hợp, cùng mã ТН ВЭД; thiếu/sai dữ liệu có thể làm thẻ bị khóa.</t>
  </si>
  <si>
    <t>Từ 01/09/2026</t>
  </si>
  <si>
    <t>Kiểm tra giấy phép/chứng nhận khi đưa hàng легпром vào lưu thông theo yêu cầu áp dụng. Bổ sung hồ sơ trong Национальный каталог đúng quy trình; đã gắn giấy tờ trên WB không chứng minh NK cũng đã có.</t>
  </si>
  <si>
    <t>Thẻ cũ / 180 ngày</t>
  </si>
  <si>
    <t>Có quy định chuyển tiếp cho việc kiểm tra thẻ cũ. Không coi đây là quyền tiếp tục bán hàng thiếu маркировка/chứng nhận hoặc lý do trì hoãn: đối chiếu thông báo hiện hành của WB và tình trạng từng thẻ.</t>
  </si>
  <si>
    <t>QUY TRÌNH SỬ DỤNG</t>
  </si>
  <si>
    <t>1 • SKU_GOC</t>
  </si>
  <si>
    <t>Lập một dòng cho mỗi mẫu × màu × size thực tế. Ghi size trên nhãn và size Nga riêng. Nhà sản xuất, địa chỉ và xuất xứ phải là dữ liệu thật, có căn cứ.</t>
  </si>
  <si>
    <t>2 • CHUNG_TU</t>
  </si>
  <si>
    <t>Lưu số hồ sơ, link đăng ký, phạm vi hàng, nhà sản xuất, mã TN VED, lô và ngày liên quan. So phạm vi về nội dung, không đòi câu chữ giống hệt. Mã nhóm 4/6 số in trên giấy không tự động làm giấy sai; phải xác định mã đầy đủ phù hợp cho SKU.</t>
  </si>
  <si>
    <t>3 • DOI_CHIEU</t>
  </si>
  <si>
    <t>Chép GTIN từ NK, WB và AI 01 của DataMatrix; công thức chỉ so sánh số. Tự kiểm tra ý nghĩa giới tính, tuổi, màu, size, thành phần, model và hồ sơ ở cả ba phía.</t>
  </si>
  <si>
    <t>4 • MA_TUNG_CHIEC</t>
  </si>
  <si>
    <t>Mỗi đơn vị vật lý có mã DataMatrix riêng. Số GTIN được cấp là số biến thể hàng, không phải số mã từng chiếc. Lưu bằng chứng vào lưu thông và chuyển giao.</t>
  </si>
  <si>
    <t>5 • CHECKLIST</t>
  </si>
  <si>
    <t>Thực hiện các điểm đúng giai đoạn; điền người kiểm tra, ngày, bằng chứng và hành động sửa. Sau đồng bộ mở lại WB và NK để xác nhận dữ liệu thực tế.</t>
  </si>
  <si>
    <t>6 • VI_DU</t>
  </si>
  <si>
    <t>Ví dụ minh họa tách riêng: 2 màu × 3 size = 6 GTIN; 10 chiếc/biến thể = 60 DataMatrix. Mọi mã trong ví dụ chỉ là tên giả, không phải mã được phép sử dụng.</t>
  </si>
  <si>
    <t>CÁCH HIỂU Ô &amp; TRẠNG THÁI</t>
  </si>
  <si>
    <t>Ô xanh nhạt</t>
  </si>
  <si>
    <t>Ô có công thức; không nhập đè. «TRÙNG SỐ» chỉ là dữ liệu nhập khớp nhau, không xác nhận GTIN có thật, hợp pháp hay hàng đã đủ điều kiện bán.</t>
  </si>
  <si>
    <t>GTIN 13 / 14 số</t>
  </si>
  <si>
    <t>Công thức chỉ thêm 0 ở đầu một chuỗi 13 chữ số; chuỗi 14 giữ nguyên. Không cắt số. Không tự tạo/check mã bằng cách thay chữ số kiểm tra. Dữ liệu mã cần định dạng TEXT.</t>
  </si>
  <si>
    <t>Trạng thái thủ công</t>
  </si>
  <si>
    <t>Chưa kiểm = chưa đối chiếu; Khớp = người kiểm xác nhận nội dung phù hợp; Lệch/Cần sửa = xử lý trước bước tiếp theo; Không áp dụng = có căn cứ và ghi chú.</t>
  </si>
  <si>
    <t>Tổng thành phần</t>
  </si>
  <si>
    <t>Cột I:N ở SKU_GOC chỉ là tối đa 3 loại sợi trong VẢI CHÍNH; tổng phải bằng 100%. Ghi thành phần lớp lót và lớp nhồi/giữ nhiệt ở cột riêng. Không cộng tỷ lệ lớp lót hoặc lớp nhồi vào vải chính, không đoán tỷ lệ từ ảnh.</t>
  </si>
  <si>
    <t>Giấy hết hạn</t>
  </si>
  <si>
    <t>Không tự kết luận mọi ngày hết hạn đã qua đều làm lô hàng không hợp lệ. Xem trạng thái hồ sơ, phạm vi, ngày sản xuất/nhập và điều kiện áp dụng cho chính lô hàng.</t>
  </si>
  <si>
    <t>DataMatrix</t>
  </si>
  <si>
    <t>Giữ đầy đủ chữ hoa/thường, ký tự ẩn và GS separators. Ưu tiên máy quét; lưu file gốc nếu Excel làm biến đổi chuỗi. Không lấy GTIN đơn thuần thay DataMatrix.</t>
  </si>
  <si>
    <t>Bản ghi so sánh</t>
  </si>
  <si>
    <t>DOI_CHIEU gồm 100 dòng. Mỗi dòng đối chiếu một biến thể SKU. MA_TUNG_CHIEC gồm 100 mã vật lý ban đầu; có thể thêm dòng và sao chép công thức/định dạng khi cần.</t>
  </si>
  <si>
    <t>LƯU Ý KHI ĐĂNG &amp; GIAO HÀNG</t>
  </si>
  <si>
    <t>Tên và hình ảnh</t>
  </si>
  <si>
    <t>Tên WB tối đa 60 ký tự, đúng hàng; khai giới tính/thành phần/màu ở trường riêng. Ảnh phải giữ chi tiết, màu và hình dáng thật; đề xuất 3:4 từ 900×1200, mỗi ảnh ≤10 MB.</t>
  </si>
  <si>
    <t>Bаркод / GTIN</t>
  </si>
  <si>
    <t>Có thể giữ barcode giao nhận cũ nếu quy trình WB cho phép và đã bổ sung GTIN. Barcode dùng giao hàng phải khớp thẻ/lô/nhãn. Không dán chồng hoặc để nhiều barcode gây quét nhầm.</t>
  </si>
  <si>
    <t>FBW / FBS</t>
  </si>
  <si>
    <t>FBW: theo dõi KIZ, biên bản nhận và UPD ДОП. FBS: gắn mã đúng từng chiếc trong nhiệm vụ gom hàng, kiểm tra kết quả. Xác định rõ bên xử lý xuất/nhập lại lưu thông theo mô hình và loại người mua.</t>
  </si>
  <si>
    <t>Đồng bộ phần mềm</t>
  </si>
  <si>
    <t>Đồng bộ không tự sửa dữ liệu sai. Kiểm tra phần mềm truyền đủ GTIN, TN VED, size và documents. API sửa thẻ có thể ghi đè dữ liệu; giữ nguyên các hồ sơ cần thiết.</t>
  </si>
  <si>
    <t>Nguồn &amp; cập nhật</t>
  </si>
  <si>
    <t>Các đường dẫn chính thức ở NGUON. Tình trạng đăng ký, phạm vi giấy tờ và quy định có thể thay đổi. Kiểm tra nguồn hiện hành khi xử lý một lô mới.</t>
  </si>
  <si>
    <t>01 | DANH MỤC DỮ LIỆU GỐC</t>
  </si>
  <si>
    <t>Một dòng = một mẫu × màu × size thực tế. Cột I:N chỉ gồm sợi trong VẢI CHÍNH; không cộng lớp lót/nhồi. Ghi hai lớp đó ở cột riêng. Nhà sản xuất, xuất xứ và TN VED phải có căn cứ. Cột xanh có công thức.</t>
  </si>
  <si>
    <t>SKU nội bộ</t>
  </si>
  <si>
    <t>STY / mã mẫu</t>
  </si>
  <si>
    <t>Thương hiệu đúng nhãn</t>
  </si>
  <si>
    <t>Tên loại hàng (Nga)</t>
  </si>
  <si>
    <t>Danh mục WB</t>
  </si>
  <si>
    <t>Giới tính theo hồ sơ / hàng</t>
  </si>
  <si>
    <t>Nhóm tuổi thực tế</t>
  </si>
  <si>
    <t>Cấu trúc vải</t>
  </si>
  <si>
    <t>Sợi 1 — VẢI CHÍNH</t>
  </si>
  <si>
    <t>Tỷ lệ sợi 1 trong vải chính (%)</t>
  </si>
  <si>
    <t>Sợi 2 — VẢI CHÍNH</t>
  </si>
  <si>
    <t>Tỷ lệ sợi 2 trong vải chính (%)</t>
  </si>
  <si>
    <t>Sợi 3 — VẢI CHÍNH</t>
  </si>
  <si>
    <t>Tỷ lệ sợi 3 trong vải chính (%)</t>
  </si>
  <si>
    <t>Tổng % vải chính (công thức)</t>
  </si>
  <si>
    <t>Thành phần đầy đủ VẢI CHÍNH</t>
  </si>
  <si>
    <t>Màu thực tế (Nga)</t>
  </si>
  <si>
    <t>Size trên nhãn</t>
  </si>
  <si>
    <t>Size Nga tương ứng</t>
  </si>
  <si>
    <t>Chiều cao (cm), nếu có</t>
  </si>
  <si>
    <t>Đơn vị / bộ</t>
  </si>
  <si>
    <t>Số phần trong bộ</t>
  </si>
  <si>
    <t>TN VED đầy đủ 10 số</t>
  </si>
  <si>
    <t>OKPD2, nếu áp dụng</t>
  </si>
  <si>
    <t>Nhà sản xuất pháp lý</t>
  </si>
  <si>
    <t>Địa chỉ sản xuất thực tế</t>
  </si>
  <si>
    <t>Nước xuất xứ thật</t>
  </si>
  <si>
    <t>Nhà nhập khẩu, nếu có</t>
  </si>
  <si>
    <t>Link ảnh nhãn / bằng chứng</t>
  </si>
  <si>
    <t>ID hồ sơ tại CHUNG_TU</t>
  </si>
  <si>
    <t>Cách đưa hàng ra thị trường</t>
  </si>
  <si>
    <t>Số chiếc thực tế</t>
  </si>
  <si>
    <t>Ghi chú độ tuổi / phạm vi / vật liệu</t>
  </si>
  <si>
    <t>Giá bán biến thể (RUB)</t>
  </si>
  <si>
    <t>Tồn công bố theo size</t>
  </si>
  <si>
    <t>Dài bao bì (cm)</t>
  </si>
  <si>
    <t>Rộng bao bì (cm)</t>
  </si>
  <si>
    <t>Cao bao bì (cm)</t>
  </si>
  <si>
    <t>Khối lượng cả bao bì (kg)</t>
  </si>
  <si>
    <t>Thành phần LỚP LÓT, nếu có</t>
  </si>
  <si>
    <t>Thành phần LỚP NHỒI / GIỮ NHIỆT, nếu có</t>
  </si>
  <si>
    <t>Hệ thống size trên nhãn / NK</t>
  </si>
  <si>
    <t>02 | ĐỐI CHIẾU WILDBERRIES ↔ NATIONAL CATALOG ↔ NHÃN</t>
  </si>
  <si>
    <t>Công thức chỉ so dữ liệu đã nhập, KHÔNG xác minh với cơ quan đăng ký, không kiểm chữ số kiểm tra và không kết luận đủ điều kiện bán. Các cột nội dung cần kiểm tra thủ công.</t>
  </si>
  <si>
    <t>GTIN nguồn NK</t>
  </si>
  <si>
    <t>GTIN nguồn WB</t>
  </si>
  <si>
    <t>GTIN từ AI 01 (14 số)</t>
  </si>
  <si>
    <t>NK chuẩn hóa (công thức)</t>
  </si>
  <si>
    <t>WB chuẩn hóa (công thức)</t>
  </si>
  <si>
    <t>So số GTIN (công thức)</t>
  </si>
  <si>
    <t>TN VED chuẩn theo hồ sơ</t>
  </si>
  <si>
    <t>TN VED trong NK</t>
  </si>
  <si>
    <t>TN VED trên WB</t>
  </si>
  <si>
    <t>So TN VED (công thức)</t>
  </si>
  <si>
    <t>Trạng thái thẻ NK</t>
  </si>
  <si>
    <t>Trạng thái thẻ WB</t>
  </si>
  <si>
    <t>Giới tính: hàng / NK / WB</t>
  </si>
  <si>
    <t>Tuổi: hàng / NK / WB</t>
  </si>
  <si>
    <t>Size: nhãn / NK / WB</t>
  </si>
  <si>
    <t>Màu: hàng / NK / WB</t>
  </si>
  <si>
    <t>Brand: nhãn / NK / WB</t>
  </si>
  <si>
    <t>Thành phần: nhãn / NK / WB</t>
  </si>
  <si>
    <t>STY / model khớp</t>
  </si>
  <si>
    <t>Nhà sản xuất / địa chỉ khớp</t>
  </si>
  <si>
    <t>Xuất xứ / tuyến hàng khớp</t>
  </si>
  <si>
    <t>Hồ sơ đã gắn NK?</t>
  </si>
  <si>
    <t>Hồ sơ đã gắn WB?</t>
  </si>
  <si>
    <t>Phạm vi &amp; trạng thái hồ sơ</t>
  </si>
  <si>
    <t>KIZ đã vào lưu thông?</t>
  </si>
  <si>
    <t>Chủ sở hữu INN đúng?</t>
  </si>
  <si>
    <t>Cảnh báo trùng SKU</t>
  </si>
  <si>
    <t>Ngày kiểm tra</t>
  </si>
  <si>
    <t>Người kiểm tra</t>
  </si>
  <si>
    <t>Vấn đề / hành động sửa / link bằng chứng</t>
  </si>
  <si>
    <t>03 | HỒ SƠ CHỨNG NHẬN &amp; PHẠM VI LÔ HÀNG</t>
  </si>
  <si>
    <t>Lưu số đăng ký cùng đầy đủ phụ lục. Không chỉ nhìn mã TN VED: so cả loại hàng, nhà sản xuất, brand/model, tuổi/giới tính và lô. Ngày hết hạn không tự động quyết định tính hợp lệ của mọi lô.</t>
  </si>
  <si>
    <t>ID hồ sơ nội bộ</t>
  </si>
  <si>
    <t>SKU / STY được phủ</t>
  </si>
  <si>
    <t>Brand trong phạm vi</t>
  </si>
  <si>
    <t>Loại giấy tờ</t>
  </si>
  <si>
    <t>Số đăng ký đầy đủ</t>
  </si>
  <si>
    <t>Link bản ghi chính thức</t>
  </si>
  <si>
    <t>Cơ quan cấp / đăng ký</t>
  </si>
  <si>
    <t>Trạng thái trên sổ đăng ký</t>
  </si>
  <si>
    <t>Ngày bắt đầu / đăng ký</t>
  </si>
  <si>
    <t>Ngày hết hiệu lực nếu có</t>
  </si>
  <si>
    <t>Không thời hạn?</t>
  </si>
  <si>
    <t>Tên hàng trong phạm vi</t>
  </si>
  <si>
    <t>Nhà sản xuất trong hồ sơ</t>
  </si>
  <si>
    <t>Địa chỉ nhà sản xuất</t>
  </si>
  <si>
    <t>Nước xuất xứ</t>
  </si>
  <si>
    <t>Giới tính / tuổi được phủ</t>
  </si>
  <si>
    <t>Size / model / lô được phủ</t>
  </si>
  <si>
    <t>TN VED trong hồ sơ</t>
  </si>
  <si>
    <t>OKPD2 trong hồ sơ</t>
  </si>
  <si>
    <t>Lô hay sản xuất hàng loạt</t>
  </si>
  <si>
    <t>Ngày SX / nhập của lô</t>
  </si>
  <si>
    <t>Link file &amp; phụ lục</t>
  </si>
  <si>
    <t>Đã gắn trên NK</t>
  </si>
  <si>
    <t>Đã gắn trên WB</t>
  </si>
  <si>
    <t>Kết luận phạm vi / điểm cần xử lý</t>
  </si>
  <si>
    <t>Quy chuẩn ТР ТС / ТР ЕАЭС</t>
  </si>
  <si>
    <t>04 | THEO DÕI MÃ CHO TỪNG ĐƠN VỊ VẬT LÝ</t>
  </si>
  <si>
    <t>Một dòng = một sản phẩm vật lý, không phải một GTIN. Không tái sử dụng cùng DataMatrix cho hai chiếc. Giữ ký tự hoa/thường và dấu phân cách GS; đối chiếu trạng thái với Честный ЗНАК trước giao hàng.</t>
  </si>
  <si>
    <t>ID chiếc / vị trí kho</t>
  </si>
  <si>
    <t>GTIN của biến thể</t>
  </si>
  <si>
    <t>DataMatrix đầy đủ / chuỗi quét</t>
  </si>
  <si>
    <t>Serial (nếu tách để quản lý)</t>
  </si>
  <si>
    <t>INN chủ sở hữu trên ЧЗ</t>
  </si>
  <si>
    <t>Trạng thái mã hiện tại</t>
  </si>
  <si>
    <t>Ngày nhận / đặt mã</t>
  </si>
  <si>
    <t>Ngày báo cáo нанесение (nếu áp dụng)</t>
  </si>
  <si>
    <t>Ngày vào lưu thông</t>
  </si>
  <si>
    <t>Link bằng chứng vào lưu thông</t>
  </si>
  <si>
    <t>WB order / supply ID</t>
  </si>
  <si>
    <t>Mô hình bán</t>
  </si>
  <si>
    <t>Số UPD / tài liệu chuyển giao</t>
  </si>
  <si>
    <t>UPD đã được nhận?</t>
  </si>
  <si>
    <t>Kết quả kiểm tra mã WB</t>
  </si>
  <si>
    <t>Ngày khách nhận hàng</t>
  </si>
  <si>
    <t>Ngày xuất khỏi lưu thông</t>
  </si>
  <si>
    <t>Lý do / bên thực hiện xuất</t>
  </si>
  <si>
    <t>Ngày hàng trả</t>
  </si>
  <si>
    <t>Ngày đưa lại lưu thông</t>
  </si>
  <si>
    <t>Link chứng từ / file quét gốc</t>
  </si>
  <si>
    <t>Cảnh báo trùng DataMatrix</t>
  </si>
  <si>
    <t>Người kiểm tra / ghi chú</t>
  </si>
  <si>
    <t>05 | CHECKLIST VẬN HÀNH — 35 ĐIỂM</t>
  </si>
  <si>
    <t>«Đã kiểm tra» là ghi nhận người thực hiện, không phải phê duyệt pháp lý tự động. «Không áp dụng» phải có lý do theo loại hàng và mô hình bán.</t>
  </si>
  <si>
    <t>STT</t>
  </si>
  <si>
    <t>Giai đoạn</t>
  </si>
  <si>
    <t>Điểm kiểm tra cụ thể</t>
  </si>
  <si>
    <t>Tính chất</t>
  </si>
  <si>
    <t>Trạng thái thực hiện</t>
  </si>
  <si>
    <t>Áp dụng SKU / lô</t>
  </si>
  <si>
    <t>Người phụ trách</t>
  </si>
  <si>
    <t>Bằng chứng / nguồn</t>
  </si>
  <si>
    <t>Lỗi &amp; hành động tiếp theo</t>
  </si>
  <si>
    <t>Trước phân loại</t>
  </si>
  <si>
    <t>Xác nhận đúng ИП/ООО bán hàng và tài khoản ЧЗ tương ứng.</t>
  </si>
  <si>
    <t>Đối chiếu</t>
  </si>
  <si>
    <t>Chưa làm</t>
  </si>
  <si>
    <t>Thu thập nhà sản xuất và địa chỉ sản xuất thật, có chứng từ.</t>
  </si>
  <si>
    <t>Yêu cầu</t>
  </si>
  <si>
    <t>Xác định nước xuất xứ và tuyến sản xuất/nhập khẩu/mua lại đúng thực tế.</t>
  </si>
  <si>
    <t>Xác định chính xác loại hàng: quần, hoodie, áo khoác, đồ lót, bộ...</t>
  </si>
  <si>
    <t>Xác định cấu trúc dệt kim/dệt thoi, lớp ngoài/lót/giữ nhiệt.</t>
  </si>
  <si>
    <t>Xác nhận giới tính theo công dụng, thiết kế, hồ sơ; không chọn theo mẫu ảnh.</t>
  </si>
  <si>
    <t>Tách người lớn, trẻ em, trẻ sơ sinh; xác định đúng nhóm tuổi.</t>
  </si>
  <si>
    <t>Đối chiếu thành phần và tỷ lệ thật; tổng của mỗi lớp thành phần = 100%.</t>
  </si>
  <si>
    <t>Đăng trên WB</t>
  </si>
  <si>
    <t>Kiểm tra giá, tồn theo size; đo dài/rộng/cao và cân hàng đã đóng gói đúng thực tế.</t>
  </si>
  <si>
    <t>Tách từng màu × size thật thành từng dòng SKU; ghi size nhãn và size Nga.</t>
  </si>
  <si>
    <t>Hồ sơ pháp lý</t>
  </si>
  <si>
    <t>Xác định đầy đủ TN VED 10 số từ đặc tính hàng; không nối 0 để đoán mã.</t>
  </si>
  <si>
    <t>So TN VED/OKPD2 khai báo với đúng phạm vi giấy chứng nhận/декларация.</t>
  </si>
  <si>
    <t>Có đúng loại giấy tờ bắt buộc và phụ lục cho mặt hàng đang bán.</t>
  </si>
  <si>
    <t>Kiểm tra bản ghi chính thức, trạng thái, nhà sản xuất, model, lô và ngày liên quan.</t>
  </si>
  <si>
    <t>GS1 / NK</t>
  </si>
  <si>
    <t>Dùng GTIN đã được cấp đúng biến thể; không cấp lại mã nhà sản xuất còn phù hợp.</t>
  </si>
  <si>
    <t>Kiểm tra thẻ NK có dữ liệu đủ, đã ký/công bố và trạng thái cần thiết.</t>
  </si>
  <si>
    <t>Bổ sung giấy tờ vào NK theo yêu cầu đang áp dụng cho nhóm hàng.</t>
  </si>
  <si>
    <t>Kiểm tra GTIN có trong hệ thống và trạng thái hoạt động; không chỉ kiểm số chữ số.</t>
  </si>
  <si>
    <t>Mã từng chiếc</t>
  </si>
  <si>
    <t>Tách số lượng GTIN (biến thể) khỏi số lượng DataMatrix (từng chiếc).</t>
  </si>
  <si>
    <t>Mỗi chiếc có DataMatrix riêng đúng SKU; in thử, quét và kiểm tra trùng.</t>
  </si>
  <si>
    <t>Hoàn thành нанесение/vào lưu thông theo tuyến hàng; lưu bằng chứng.</t>
  </si>
  <si>
    <t>Kiểm tra INN chủ sở hữu và chứng từ chuyển giao theo đúng vai trò.</t>
  </si>
  <si>
    <t>Chọn đúng danh mục, giới tính và nhóm tuổi trong trường đặc tính.</t>
  </si>
  <si>
    <t>Bảng size áp dụng đúng danh mục/giới tính; không tự đổi S/M/L theo một chuẩn chung.</t>
  </si>
  <si>
    <t>Khai GTIN đúng từng biến thể trong trường WB phù hợp; so với AI 01.</t>
  </si>
  <si>
    <t>Chỉ dùng «Дополнительный GTIN» khi đúng tình huống; không lấy mã tùy ý.</t>
  </si>
  <si>
    <t>Khai TN VED trong trường chính và xác nhận đã dán маркировка khi bắt buộc.</t>
  </si>
  <si>
    <t>Gắn đúng hồ sơ, số và ngày; kiểm trạng thái duyệt trên WB và đường dẫn sổ đăng ký.</t>
  </si>
  <si>
    <t>Nội dung thẻ</t>
  </si>
  <si>
    <t>Tên tiếng Nga ≤60 ký tự, mô tả thật; điền riêng Пол/Состав/Цвет/Размер, không nhồi từ khóa.</t>
  </si>
  <si>
    <t>Khuyến nghị</t>
  </si>
  <si>
    <t>Ảnh rõ đúng hàng, màu và chi tiết; không giá/QR/liên hệ ngoài/lời quảng cáo cấm.</t>
  </si>
  <si>
    <t>Trước giao hàng</t>
  </si>
  <si>
    <t>Bao bì kín; nhãn Nga đủ thông tin, EAC khi áp dụng; barcode/KIZ dễ quét.</t>
  </si>
  <si>
    <t>Giao FBW</t>
  </si>
  <si>
    <t>So biên bản nhận và mã thực tế; gửi/kiểm nhận UPD ДОП theo quy trình, đặt mục tiêu ≤3 ngày làm việc.</t>
  </si>
  <si>
    <t>Giao FBS</t>
  </si>
  <si>
    <t>Quét KIZ đúng chiếc vào nhiệm vụ gom hàng và xử lý trạng thái kiểm tra trước giao.</t>
  </si>
  <si>
    <t>Sau bán / trả hàng</t>
  </si>
  <si>
    <t>Xác nhận bên xuất mã và đưa lại lưu thông theo mô hình/loại khách; tránh làm hai lần.</t>
  </si>
  <si>
    <t>Sau đồng bộ</t>
  </si>
  <si>
    <t>Mở lại thẻ WB + NK, kiểm GTIN, TN VED, giấy tờ, size và trạng thái; lưu bằng chứng.</t>
  </si>
  <si>
    <t>06 | NGUỒN CHÍNH THỨC</t>
  </si>
  <si>
    <t>Nguồn tham khảo công khai; dữ liệu tài khoản của shop chưa được kiểm tra. Quy định và giao diện có thể cập nhật; ưu tiên bản dành Nga. Không dùng cổng tổng quan thay văn bản cụ thể khi kết luận pháp lý.</t>
  </si>
  <si>
    <t>Mã nguồn</t>
  </si>
  <si>
    <t>Tên tài liệu</t>
  </si>
  <si>
    <t>Ngày nguồn / ngày tra cứu</t>
  </si>
  <si>
    <t>URL chính thức</t>
  </si>
  <si>
    <t>Dùng để kiểm tra / lưu ý</t>
  </si>
  <si>
    <t>WB-01</t>
  </si>
  <si>
    <t>GTIN, barcode, KIZ, mã lô hàng</t>
  </si>
  <si>
    <t>02/10/2026</t>
  </si>
  <si>
    <t>https://seller.wildberries.ru/instructions/ru/ru/material/items-and-shipment-labling-like-barcode-and-others</t>
  </si>
  <si>
    <t>GTIN bắt buộc từ 01/10; trường bổ sung; không phải dán lại barcode cũ trong mọi trường hợp.</t>
  </si>
  <si>
    <t>WB-02</t>
  </si>
  <si>
    <t>Kiểm tra mã theo mô hình FBS</t>
  </si>
  <si>
    <t>27/08/2026</t>
  </si>
  <si>
    <t>https://seller.wildberries.ru/instructions/ru/ru/material/verify-product-identifiers</t>
  </si>
  <si>
    <t>GTIN phải có ở National Catalog/GS1 RUS và активен; quét đúng KIZ.</t>
  </si>
  <si>
    <t>WB-03</t>
  </si>
  <si>
    <t>Hồ sơ chứng nhận / декларация</t>
  </si>
  <si>
    <t>29/09/2026</t>
  </si>
  <si>
    <t>https://seller.wildberries.ru/instructions/ru/ru/material/certificates-and-conformity-declarations</t>
  </si>
  <si>
    <t>Mã TN VED/OKPD2 và dữ liệu giấy tờ phải phù hợp.</t>
  </si>
  <si>
    <t>WB-04</t>
  </si>
  <si>
    <t>Tạo thẻ hàng</t>
  </si>
  <si>
    <t>Kiểm tra 06/10/2026</t>
  </si>
  <si>
    <t>https://seller.wildberries.ru/instructions/ru/ru/material/how-to-create-card</t>
  </si>
  <si>
    <t>Tên, đặc tính, size, GTIN, chứng từ, ảnh; mở bản dành đúng quốc gia.</t>
  </si>
  <si>
    <t>WB-05</t>
  </si>
  <si>
    <t>Bảng size trong thẻ</t>
  </si>
  <si>
    <t>27/07/2026</t>
  </si>
  <si>
    <t>https://seller.wildberries.ru/instructions/ru/ru/material/sizing-chart-in-item-card</t>
  </si>
  <si>
    <t>Khớp danh mục/giới tính; size nhãn và size Nga.</t>
  </si>
  <si>
    <t>WB-06</t>
  </si>
  <si>
    <t>Bán hàng có KIZ</t>
  </si>
  <si>
    <t>25/09/2026</t>
  </si>
  <si>
    <t>https://seller.wildberries.ru/instructions/ru/ru/material/how-to-sell-cim-labeled-items</t>
  </si>
  <si>
    <t>Vai trò FBW/FBS và mã từng chiếc.</t>
  </si>
  <si>
    <t>WB-07</t>
  </si>
  <si>
    <t>UPD ДОП cho lô Короб</t>
  </si>
  <si>
    <t>https://seller.wildberries.ru/instructions/ru/ru/material/labeled-items-utd-dop-forming</t>
  </si>
  <si>
    <t>Quy trình đọc biên bản, lập/gửi UPD và kiểm kết quả.</t>
  </si>
  <si>
    <t>WB-08</t>
  </si>
  <si>
    <t>UPD cho Монопаллета</t>
  </si>
  <si>
    <t>04/09/2026</t>
  </si>
  <si>
    <t>https://seller.wildberries.ru/instructions/ru/ru/material/transfering-labeling-codes-at-monopallet-shipment</t>
  </si>
  <si>
    <t>Mã gộp, GTIN/KIZ và thời hạn xử lý theo kiểu theo dõi.</t>
  </si>
  <si>
    <t>WB-09</t>
  </si>
  <si>
    <t>Nhãn theo kỹ thuật EAEU</t>
  </si>
  <si>
    <t>18/05/2026</t>
  </si>
  <si>
    <t>https://seller.wildberries.ru/instructions/ru/ru/material/labeling-features-for-customs-union-countries</t>
  </si>
  <si>
    <t>Tên, nhà sản xuất/địa chỉ, nước, thành phần, EAC và dữ liệu khác tùy hàng.</t>
  </si>
  <si>
    <t>WB-10</t>
  </si>
  <si>
    <t>Chụp sản phẩm</t>
  </si>
  <si>
    <t>https://seller.wildberries.ru/instructions/ru/ru/material/subject-photo-recommendations</t>
  </si>
  <si>
    <t>Ảnh nét, màu thật, bố cục thể hiện đầy đủ hàng.</t>
  </si>
  <si>
    <t>WB-11</t>
  </si>
  <si>
    <t>Quy tắc ảnh</t>
  </si>
  <si>
    <t>https://seller.wildberries.ru/instructions/ru/ru/material/item-photo-rules-recommendations-and-common-mistakes</t>
  </si>
  <si>
    <t>Kiểm tra đúng phiên bản quốc gia; đề xuất file 3:4 từ 900×1200.</t>
  </si>
  <si>
    <t>WB-12</t>
  </si>
  <si>
    <t>Đóng gói theo loại hàng</t>
  </si>
  <si>
    <t>30/06/2026</t>
  </si>
  <si>
    <t>https://seller.wildberries.ru/instructions/material/A-909</t>
  </si>
  <si>
    <t>Bao riêng, bảo vệ, nhãn quét được; đối chiếu thêm hướng dẫn đúng mô hình.</t>
  </si>
  <si>
    <t>WB-13</t>
  </si>
  <si>
    <t>Giới tính đồ trẻ em</t>
  </si>
  <si>
    <t>https://seller.wildberries.ru/instructions/ru/ru/material/how-to-specify-gender-in-children-clothes</t>
  </si>
  <si>
    <t>Đối chiếu quy tắc детский với mẫu thật và ảnh.</t>
  </si>
  <si>
    <t>WB-14</t>
  </si>
  <si>
    <t>Lỗi KIZ và ký tự phân cách</t>
  </si>
  <si>
    <t>18/08/2026</t>
  </si>
  <si>
    <t>https://seller.wildberries.ru/instructions/ru/ru/material/kiz-common-errors</t>
  </si>
  <si>
    <t>Truyền mã đầy đủ, GS separators, máy quét và trạng thái.</t>
  </si>
  <si>
    <t>WB-15</t>
  </si>
  <si>
    <t>Thông báo API chính thức</t>
  </si>
  <si>
    <t>https://t.me/s/wb_api_notifications?q=%23items</t>
  </si>
  <si>
    <t>GTIN bổ sung, documents; API cập nhật có thể ghi đè dữ liệu.</t>
  </si>
  <si>
    <t>CZ-04</t>
  </si>
  <si>
    <t>Hướng dẫn tải thẻ GS1 RUS vào NK</t>
  </si>
  <si>
    <t>https://docs.crpt.ru/gismt/Инструкция_по_загрузке_карточек_товаров_из_ГС1_РУС_в_НКМТ/</t>
  </si>
  <si>
    <t>Quy trình đồng bộ dữ liệu thẻ GS1 RUS → National Catalog.</t>
  </si>
  <si>
    <t>CZ-01</t>
  </si>
  <si>
    <t>Đối chiếu thẻ marketplace và ЧЗ</t>
  </si>
  <si>
    <t>22/09/2026</t>
  </si>
  <si>
    <t>https://markirovka.ru/knowledge/tovarnye-gruppy/obschie-voprosy-gis/kak-marketpleys-budet-sveryat-kartochki-tovarov-s-chestnym-znakom-</t>
  </si>
  <si>
    <t>Đối chiếu và giai đoạn chuyển tiếp thẻ có trước thay đổi.</t>
  </si>
  <si>
    <t>CZ-02</t>
  </si>
  <si>
    <t>Kiểm tra giấy tờ khi vào lưu thông легпром</t>
  </si>
  <si>
    <t>04/08/2026</t>
  </si>
  <si>
    <t>https://markirovka.ru/knowledge/tovarnye-gruppy/legkaya-promishlennost/proverka-razreshitelnykh-dokumentov-pri-vvode-v-oborot-s-1-sentyabrya-2026-goda</t>
  </si>
  <si>
    <t>Yêu cầu từ 01/09/2026 cho nhóm hàng và nghiệp vụ áp dụng.</t>
  </si>
  <si>
    <t>CZ-03</t>
  </si>
  <si>
    <t>Cách ghi size hàng may mặc trong NK</t>
  </si>
  <si>
    <t>https://markirovka.ru/knowledge/tovarnye-gruppy/legkaya-promishlennost/kak-korrektno-ukazat-razmer-odezhdy-v-kartochke-tovara-legprom</t>
  </si>
  <si>
    <t>Size chính xác trong thẻ легпром; đối chiếu nhãn và dữ liệu nguồn.</t>
  </si>
  <si>
    <t>GS1-01</t>
  </si>
  <si>
    <t>ГС1 РУС</t>
  </si>
  <si>
    <t>https://www.gs1ru.org/</t>
  </si>
  <si>
    <t>Cấp/kiểm tra GTIN và quản lý dữ liệu hàng đúng biến thể.</t>
  </si>
  <si>
    <t>07 | VÍ DỤ MINH HỌA — KHÔNG DÙNG ĐĂNG HÀNG</t>
  </si>
  <si>
    <t>TẤT CẢ DỮ LIỆU Ở TAB NÀY LÀ GIẢ ĐỊNH. Không có GTIN thật, TN VED hay số chứng nhận được tạo ra. Mẫu: 2 màu × 3 size = 6 biến thể.</t>
  </si>
  <si>
    <t>Biến thể giả định</t>
  </si>
  <si>
    <t>STY giả định</t>
  </si>
  <si>
    <t>Màu giả định</t>
  </si>
  <si>
    <t>Size nhãn giả định</t>
  </si>
  <si>
    <t>GTIN: chỉ nhãn minh họa</t>
  </si>
  <si>
    <t>Số chiếc</t>
  </si>
  <si>
    <t>Số DataMatrix riêng cần có</t>
  </si>
  <si>
    <t>Cách hiểu</t>
  </si>
  <si>
    <t>VD-01</t>
  </si>
  <si>
    <t>MAU-MINH-HOA</t>
  </si>
  <si>
    <t>Đen</t>
  </si>
  <si>
    <t>S</t>
  </si>
  <si>
    <t>GTIN-VÍ-DỤ-01 — KHÔNG HỢP LỆ</t>
  </si>
  <si>
    <t>10 chiếc cùng biến thể dùng chung GTIN của biến thể, nhưng mỗi chiếc có DataMatrix riêng.</t>
  </si>
  <si>
    <t>VD-02</t>
  </si>
  <si>
    <t>M</t>
  </si>
  <si>
    <t>GTIN-VÍ-DỤ-02 — KHÔNG HỢP LỆ</t>
  </si>
  <si>
    <t>VD-03</t>
  </si>
  <si>
    <t>L</t>
  </si>
  <si>
    <t>GTIN-VÍ-DỤ-03 — KHÔNG HỢP LỆ</t>
  </si>
  <si>
    <t>VD-04</t>
  </si>
  <si>
    <t>Xám</t>
  </si>
  <si>
    <t>GTIN-VÍ-DỤ-04 — KHÔNG HỢP LỆ</t>
  </si>
  <si>
    <t>VD-05</t>
  </si>
  <si>
    <t>GTIN-VÍ-DỤ-05 — KHÔNG HỢP LỆ</t>
  </si>
  <si>
    <t>VD-06</t>
  </si>
  <si>
    <t>GTIN-VÍ-DỤ-06 — KHÔNG HỢP LỆ</t>
  </si>
  <si>
    <t>TỔNG MINH HỌA</t>
  </si>
  <si>
    <t>6 GTIN riêng cho 6 biến thể</t>
  </si>
  <si>
    <t>60 chiếc vật lý → 60 mã DataMatrix riêng; không phải 60 GTIN.</t>
  </si>
  <si>
    <t>KHÔNG SUY RA SIZE NGA TỪ VÍ DỤ NÀY
S / M / L ở đây không được tự gán thành 40 / 42 / 44. Dùng nhãn, số đo và bảng size đúng mẫu hàng. TN VED, giới tính, thành phần và chứng nhận phải xác định riêng từ hàng thật.</t>
  </si>
</sst>
</file>

<file path=xl/styles.xml><?xml version="1.0" encoding="utf-8"?>
<styleSheet xmlns="http://schemas.openxmlformats.org/spreadsheetml/2006/main">
  <numFmts count="3">
    <numFmt numFmtId="164" formatCode="@"/>
    <numFmt numFmtId="165" formatCode="0.##"/>
    <numFmt numFmtId="166" formatCode="dd/mm/yyyy"/>
  </numFmts>
  <fonts count="10">
    <font>
      <sz val="11"/>
      <color theme="1"/>
      <name val="Calibri"/>
      <family val="2"/>
      <scheme val="minor"/>
    </font>
    <font>
      <b/>
      <sz val="19"/>
      <color rgb="FFFFFFFF"/>
      <name val="Arial"/>
      <family val="2"/>
    </font>
    <font>
      <sz val="10"/>
      <color rgb="FF142D4E"/>
      <name val="Arial"/>
      <family val="2"/>
    </font>
    <font>
      <b/>
      <sz val="12"/>
      <color rgb="FFFFFFFF"/>
      <name val="Arial"/>
      <family val="2"/>
    </font>
    <font>
      <b/>
      <sz val="11"/>
      <color theme="1"/>
      <name val="Arial"/>
      <family val="2"/>
    </font>
    <font>
      <sz val="11"/>
      <color theme="1"/>
      <name val="Arial"/>
      <family val="2"/>
    </font>
    <font>
      <b/>
      <sz val="10"/>
      <color rgb="FFFFFFFF"/>
      <name val="Arial"/>
      <family val="2"/>
    </font>
    <font>
      <sz val="10"/>
      <color theme="1"/>
      <name val="Arial"/>
      <family val="2"/>
    </font>
    <font>
      <u/>
      <sz val="10"/>
      <color rgb="FF0563C1"/>
      <name val="Arial"/>
      <family val="2"/>
    </font>
    <font>
      <sz val="8"/>
      <color indexed="81"/>
      <name val="Tahoma"/>
      <family val="2"/>
    </font>
  </fonts>
  <fills count="7">
    <fill>
      <patternFill patternType="none"/>
    </fill>
    <fill>
      <patternFill patternType="gray125"/>
    </fill>
    <fill>
      <patternFill patternType="solid">
        <fgColor rgb="FF142D4E"/>
        <bgColor indexed="64"/>
      </patternFill>
    </fill>
    <fill>
      <patternFill patternType="solid">
        <fgColor rgb="FFEAF5F6"/>
        <bgColor indexed="64"/>
      </patternFill>
    </fill>
    <fill>
      <patternFill patternType="solid">
        <fgColor rgb="FF087E8B"/>
        <bgColor indexed="64"/>
      </patternFill>
    </fill>
    <fill>
      <patternFill patternType="solid">
        <fgColor rgb="FFF2F5F8"/>
        <bgColor indexed="64"/>
      </patternFill>
    </fill>
    <fill>
      <patternFill patternType="solid">
        <fgColor rgb="FFDDEBF7"/>
        <bgColor indexed="64"/>
      </patternFill>
    </fill>
  </fills>
  <borders count="4">
    <border>
      <left/>
      <right/>
      <top/>
      <bottom/>
      <diagonal/>
    </border>
    <border>
      <left style="thin">
        <color rgb="FFD9E4EC"/>
      </left>
      <right style="thin">
        <color rgb="FFD9E4EC"/>
      </right>
      <top style="thin">
        <color rgb="FFD9E4EC"/>
      </top>
      <bottom style="thin">
        <color rgb="FFD9E4EC"/>
      </bottom>
      <diagonal/>
    </border>
    <border>
      <left style="thin">
        <color rgb="FFFFFFFF"/>
      </left>
      <right style="thin">
        <color rgb="FFFFFFFF"/>
      </right>
      <top style="thin">
        <color rgb="FFFFFFFF"/>
      </top>
      <bottom style="thin">
        <color rgb="FFFFFFFF"/>
      </bottom>
      <diagonal/>
    </border>
    <border>
      <left style="thin">
        <color rgb="FFE1E7EF"/>
      </left>
      <right style="thin">
        <color rgb="FFE1E7EF"/>
      </right>
      <top style="thin">
        <color rgb="FFE1E7EF"/>
      </top>
      <bottom style="thin">
        <color rgb="FFE1E7EF"/>
      </bottom>
      <diagonal/>
    </border>
  </borders>
  <cellStyleXfs count="1">
    <xf numFmtId="0" fontId="0" fillId="0" borderId="0"/>
  </cellStyleXfs>
  <cellXfs count="12">
    <xf numFmtId="0" fontId="0" fillId="0" borderId="0" xfId="0"/>
    <xf numFmtId="0" fontId="1" fillId="2" borderId="0" xfId="0" applyFont="1" applyFill="1" applyAlignment="1">
      <alignment vertical="center"/>
    </xf>
    <xf numFmtId="0" fontId="2" fillId="3" borderId="0" xfId="0" applyFont="1" applyFill="1" applyAlignment="1">
      <alignment vertical="center" wrapText="1"/>
    </xf>
    <xf numFmtId="0" fontId="3" fillId="4" borderId="0" xfId="0" applyFont="1" applyFill="1" applyAlignment="1">
      <alignment vertical="center"/>
    </xf>
    <xf numFmtId="0" fontId="4" fillId="5" borderId="1" xfId="0" applyFont="1" applyFill="1" applyBorder="1" applyAlignment="1">
      <alignment vertical="center" wrapText="1"/>
    </xf>
    <xf numFmtId="0" fontId="5" fillId="0" borderId="1" xfId="0" applyFont="1" applyBorder="1" applyAlignment="1">
      <alignment vertical="center" wrapText="1"/>
    </xf>
    <xf numFmtId="0" fontId="6" fillId="4" borderId="2" xfId="0" applyFont="1" applyFill="1" applyBorder="1" applyAlignment="1">
      <alignment vertical="center" wrapText="1"/>
    </xf>
    <xf numFmtId="164" fontId="7" fillId="0" borderId="3" xfId="0" applyNumberFormat="1" applyFont="1" applyBorder="1" applyAlignment="1">
      <alignment vertical="top" wrapText="1"/>
    </xf>
    <xf numFmtId="165" fontId="7" fillId="0" borderId="3" xfId="0" applyNumberFormat="1" applyFont="1" applyBorder="1" applyAlignment="1">
      <alignment vertical="top"/>
    </xf>
    <xf numFmtId="164" fontId="7" fillId="6" borderId="3" xfId="0" applyNumberFormat="1" applyFont="1" applyFill="1" applyBorder="1" applyAlignment="1">
      <alignment vertical="top" wrapText="1"/>
    </xf>
    <xf numFmtId="166" fontId="7" fillId="0" borderId="3" xfId="0" applyNumberFormat="1" applyFont="1" applyBorder="1" applyAlignment="1">
      <alignment vertical="top"/>
    </xf>
    <xf numFmtId="0" fontId="8" fillId="0" borderId="3" xfId="0" applyFont="1" applyBorder="1" applyAlignment="1">
      <alignment vertical="top" wrapText="1"/>
    </xf>
  </cellXfs>
  <cellStyles count="1">
    <cellStyle name="Normal" xfId="0" builtinId="0"/>
  </cellStyles>
  <dxfs count="3">
    <dxf>
      <font>
        <color rgb="FF9C0006"/>
      </font>
      <fill>
        <patternFill>
          <bgColor rgb="FFFCE4D6"/>
        </patternFill>
      </fill>
    </dxf>
    <dxf>
      <font>
        <color rgb="FF7F6000"/>
      </font>
      <fill>
        <patternFill>
          <bgColor rgb="FFFFF2CC"/>
        </patternFill>
      </fill>
    </dxf>
    <dxf>
      <font>
        <color rgb="FF375623"/>
      </font>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ildberries.ru/instructions/ru/ru/material/items-and-shipment-labling-like-barcode-and-others" TargetMode="External"/><Relationship Id="rId2" Type="http://schemas.openxmlformats.org/officeDocument/2006/relationships/hyperlink" Target="https://seller.wildberries.ru/instructions/ru/ru/material/verify-product-identifiers" TargetMode="External"/><Relationship Id="rId3" Type="http://schemas.openxmlformats.org/officeDocument/2006/relationships/hyperlink" Target="https://seller.wildberries.ru/instructions/ru/ru/material/certificates-and-conformity-declarations" TargetMode="External"/><Relationship Id="rId4" Type="http://schemas.openxmlformats.org/officeDocument/2006/relationships/hyperlink" Target="https://seller.wildberries.ru/instructions/ru/ru/material/how-to-create-card" TargetMode="External"/><Relationship Id="rId5" Type="http://schemas.openxmlformats.org/officeDocument/2006/relationships/hyperlink" Target="https://seller.wildberries.ru/instructions/ru/ru/material/sizing-chart-in-item-card" TargetMode="External"/><Relationship Id="rId6" Type="http://schemas.openxmlformats.org/officeDocument/2006/relationships/hyperlink" Target="https://seller.wildberries.ru/instructions/ru/ru/material/how-to-sell-cim-labeled-items" TargetMode="External"/><Relationship Id="rId7" Type="http://schemas.openxmlformats.org/officeDocument/2006/relationships/hyperlink" Target="https://seller.wildberries.ru/instructions/ru/ru/material/labeled-items-utd-dop-forming" TargetMode="External"/><Relationship Id="rId8" Type="http://schemas.openxmlformats.org/officeDocument/2006/relationships/hyperlink" Target="https://seller.wildberries.ru/instructions/ru/ru/material/transfering-labeling-codes-at-monopallet-shipment" TargetMode="External"/><Relationship Id="rId9" Type="http://schemas.openxmlformats.org/officeDocument/2006/relationships/hyperlink" Target="https://seller.wildberries.ru/instructions/ru/ru/material/labeling-features-for-customs-union-countries" TargetMode="External"/><Relationship Id="rId10" Type="http://schemas.openxmlformats.org/officeDocument/2006/relationships/hyperlink" Target="https://seller.wildberries.ru/instructions/ru/ru/material/subject-photo-recommendations" TargetMode="External"/><Relationship Id="rId11" Type="http://schemas.openxmlformats.org/officeDocument/2006/relationships/hyperlink" Target="https://seller.wildberries.ru/instructions/ru/ru/material/item-photo-rules-recommendations-and-common-mistakes" TargetMode="External"/><Relationship Id="rId12" Type="http://schemas.openxmlformats.org/officeDocument/2006/relationships/hyperlink" Target="https://seller.wildberries.ru/instructions/material/A-909" TargetMode="External"/><Relationship Id="rId13" Type="http://schemas.openxmlformats.org/officeDocument/2006/relationships/hyperlink" Target="https://seller.wildberries.ru/instructions/ru/ru/material/how-to-specify-gender-in-children-clothes" TargetMode="External"/><Relationship Id="rId14" Type="http://schemas.openxmlformats.org/officeDocument/2006/relationships/hyperlink" Target="https://seller.wildberries.ru/instructions/ru/ru/material/kiz-common-errors" TargetMode="External"/><Relationship Id="rId15" Type="http://schemas.openxmlformats.org/officeDocument/2006/relationships/hyperlink" Target="https://t.me/s/wb_api_notifications?q=%23items" TargetMode="External"/><Relationship Id="rId16" Type="http://schemas.openxmlformats.org/officeDocument/2006/relationships/hyperlink" Target="https://docs.crpt.ru/gismt/&#1048;&#1085;&#1089;&#1090;&#1088;&#1091;&#1082;&#1094;&#1080;&#1103;_&#1087;&#1086;_&#1079;&#1072;&#1075;&#1088;&#1091;&#1079;&#1082;&#1077;_&#1082;&#1072;&#1088;&#1090;&#1086;&#1095;&#1077;&#1082;_&#1090;&#1086;&#1074;&#1072;&#1088;&#1086;&#1074;_&#1080;&#1079;_&#1043;&#1057;1_&#1056;&#1059;&#1057;_&#1074;_&#1053;&#1050;&#1052;&#1058;/" TargetMode="External"/><Relationship Id="rId17" Type="http://schemas.openxmlformats.org/officeDocument/2006/relationships/hyperlink" Target="https://markirovka.ru/knowledge/tovarnye-gruppy/obschie-voprosy-gis/kak-marketpleys-budet-sveryat-kartochki-tovarov-s-chestnym-znakom-" TargetMode="External"/><Relationship Id="rId18" Type="http://schemas.openxmlformats.org/officeDocument/2006/relationships/hyperlink" Target="https://markirovka.ru/knowledge/tovarnye-gruppy/legkaya-promishlennost/proverka-razreshitelnykh-dokumentov-pri-vvode-v-oborot-s-1-sentyabrya-2026-goda" TargetMode="External"/><Relationship Id="rId19" Type="http://schemas.openxmlformats.org/officeDocument/2006/relationships/hyperlink" Target="https://markirovka.ru/knowledge/tovarnye-gruppy/legkaya-promishlennost/kak-korrektno-ukazat-razmer-odezhdy-v-kartochke-tovara-legprom" TargetMode="External"/><Relationship Id="rId20" Type="http://schemas.openxmlformats.org/officeDocument/2006/relationships/hyperlink" Target="https://www.gs1ru.org/" TargetMode="External"/></Relationships>
</file>

<file path=xl/worksheets/sheet1.xml><?xml version="1.0" encoding="utf-8"?>
<worksheet xmlns="http://schemas.openxmlformats.org/spreadsheetml/2006/main" xmlns:r="http://schemas.openxmlformats.org/officeDocument/2006/relationships">
  <sheetPr>
    <tabColor rgb="FF142D4E"/>
    <pageSetUpPr fitToPage="1"/>
  </sheetPr>
  <dimension ref="A1:H32"/>
  <sheetViews>
    <sheetView showGridLines="0" tabSelected="1" workbookViewId="0">
      <pane ySplit="6" topLeftCell="A7" activePane="bottomLeft" state="frozen"/>
      <selection pane="bottomLeft"/>
    </sheetView>
  </sheetViews>
  <sheetFormatPr defaultRowHeight="15"/>
  <cols>
    <col min="1" max="1" width="4.7109375" customWidth="1"/>
    <col min="2" max="3" width="20.7109375" customWidth="1"/>
    <col min="4" max="8" width="17.7109375" customWidth="1"/>
  </cols>
  <sheetData>
    <row r="1" spans="1:8" ht="27" customHeight="1">
      <c r="A1" s="1" t="s">
        <v>0</v>
      </c>
      <c r="B1" s="1"/>
      <c r="C1" s="1"/>
      <c r="D1" s="1"/>
      <c r="E1" s="1"/>
      <c r="F1" s="1"/>
      <c r="G1" s="1"/>
      <c r="H1" s="1"/>
    </row>
    <row r="2" spans="1:8" ht="27" customHeight="1">
      <c r="A2" s="1"/>
      <c r="B2" s="1"/>
      <c r="C2" s="1"/>
      <c r="D2" s="1"/>
      <c r="E2" s="1"/>
      <c r="F2" s="1"/>
      <c r="G2" s="1"/>
      <c r="H2" s="1"/>
    </row>
    <row r="4" spans="1:8">
      <c r="A4" s="2" t="s">
        <v>1</v>
      </c>
      <c r="B4" s="2"/>
      <c r="C4" s="2"/>
      <c r="D4" s="2"/>
      <c r="E4" s="2"/>
      <c r="F4" s="2"/>
      <c r="G4" s="2"/>
      <c r="H4" s="2"/>
    </row>
    <row r="5" spans="1:8">
      <c r="A5" s="2"/>
      <c r="B5" s="2"/>
      <c r="C5" s="2"/>
      <c r="D5" s="2"/>
      <c r="E5" s="2"/>
      <c r="F5" s="2"/>
      <c r="G5" s="2"/>
      <c r="H5" s="2"/>
    </row>
    <row r="7" spans="1:8" ht="26" customHeight="1">
      <c r="A7" s="3" t="s">
        <v>2</v>
      </c>
      <c r="B7" s="3"/>
      <c r="C7" s="3"/>
      <c r="D7" s="3"/>
      <c r="E7" s="3"/>
      <c r="F7" s="3"/>
      <c r="G7" s="3"/>
      <c r="H7" s="3"/>
    </row>
    <row r="8" spans="1:8" ht="49" customHeight="1">
      <c r="A8" s="4" t="s">
        <v>3</v>
      </c>
      <c r="B8" s="4"/>
      <c r="C8" s="4"/>
      <c r="D8" s="5" t="s">
        <v>4</v>
      </c>
      <c r="E8" s="5"/>
      <c r="F8" s="5"/>
      <c r="G8" s="5"/>
      <c r="H8" s="5"/>
    </row>
    <row r="9" spans="1:8" ht="49" customHeight="1">
      <c r="A9" s="4" t="s">
        <v>5</v>
      </c>
      <c r="B9" s="4"/>
      <c r="C9" s="4"/>
      <c r="D9" s="5" t="s">
        <v>6</v>
      </c>
      <c r="E9" s="5"/>
      <c r="F9" s="5"/>
      <c r="G9" s="5"/>
      <c r="H9" s="5"/>
    </row>
    <row r="10" spans="1:8" ht="49" customHeight="1">
      <c r="A10" s="4" t="s">
        <v>7</v>
      </c>
      <c r="B10" s="4"/>
      <c r="C10" s="4"/>
      <c r="D10" s="5" t="s">
        <v>8</v>
      </c>
      <c r="E10" s="5"/>
      <c r="F10" s="5"/>
      <c r="G10" s="5"/>
      <c r="H10" s="5"/>
    </row>
    <row r="11" spans="1:8" ht="49" customHeight="1">
      <c r="A11" s="4" t="s">
        <v>9</v>
      </c>
      <c r="B11" s="4"/>
      <c r="C11" s="4"/>
      <c r="D11" s="5" t="s">
        <v>10</v>
      </c>
      <c r="E11" s="5"/>
      <c r="F11" s="5"/>
      <c r="G11" s="5"/>
      <c r="H11" s="5"/>
    </row>
    <row r="12" spans="1:8" ht="26" customHeight="1">
      <c r="A12" s="3" t="s">
        <v>11</v>
      </c>
      <c r="B12" s="3"/>
      <c r="C12" s="3"/>
      <c r="D12" s="3"/>
      <c r="E12" s="3"/>
      <c r="F12" s="3"/>
      <c r="G12" s="3"/>
      <c r="H12" s="3"/>
    </row>
    <row r="13" spans="1:8" ht="49" customHeight="1">
      <c r="A13" s="4" t="s">
        <v>12</v>
      </c>
      <c r="B13" s="4"/>
      <c r="C13" s="4"/>
      <c r="D13" s="5" t="s">
        <v>13</v>
      </c>
      <c r="E13" s="5"/>
      <c r="F13" s="5"/>
      <c r="G13" s="5"/>
      <c r="H13" s="5"/>
    </row>
    <row r="14" spans="1:8" ht="63" customHeight="1">
      <c r="A14" s="4" t="s">
        <v>14</v>
      </c>
      <c r="B14" s="4"/>
      <c r="C14" s="4"/>
      <c r="D14" s="5" t="s">
        <v>15</v>
      </c>
      <c r="E14" s="5"/>
      <c r="F14" s="5"/>
      <c r="G14" s="5"/>
      <c r="H14" s="5"/>
    </row>
    <row r="15" spans="1:8" ht="49" customHeight="1">
      <c r="A15" s="4" t="s">
        <v>16</v>
      </c>
      <c r="B15" s="4"/>
      <c r="C15" s="4"/>
      <c r="D15" s="5" t="s">
        <v>17</v>
      </c>
      <c r="E15" s="5"/>
      <c r="F15" s="5"/>
      <c r="G15" s="5"/>
      <c r="H15" s="5"/>
    </row>
    <row r="16" spans="1:8" ht="49" customHeight="1">
      <c r="A16" s="4" t="s">
        <v>18</v>
      </c>
      <c r="B16" s="4"/>
      <c r="C16" s="4"/>
      <c r="D16" s="5" t="s">
        <v>19</v>
      </c>
      <c r="E16" s="5"/>
      <c r="F16" s="5"/>
      <c r="G16" s="5"/>
      <c r="H16" s="5"/>
    </row>
    <row r="17" spans="1:8" ht="49" customHeight="1">
      <c r="A17" s="4" t="s">
        <v>20</v>
      </c>
      <c r="B17" s="4"/>
      <c r="C17" s="4"/>
      <c r="D17" s="5" t="s">
        <v>21</v>
      </c>
      <c r="E17" s="5"/>
      <c r="F17" s="5"/>
      <c r="G17" s="5"/>
      <c r="H17" s="5"/>
    </row>
    <row r="18" spans="1:8" ht="49" customHeight="1">
      <c r="A18" s="4" t="s">
        <v>22</v>
      </c>
      <c r="B18" s="4"/>
      <c r="C18" s="4"/>
      <c r="D18" s="5" t="s">
        <v>23</v>
      </c>
      <c r="E18" s="5"/>
      <c r="F18" s="5"/>
      <c r="G18" s="5"/>
      <c r="H18" s="5"/>
    </row>
    <row r="19" spans="1:8" ht="26" customHeight="1">
      <c r="A19" s="3" t="s">
        <v>24</v>
      </c>
      <c r="B19" s="3"/>
      <c r="C19" s="3"/>
      <c r="D19" s="3"/>
      <c r="E19" s="3"/>
      <c r="F19" s="3"/>
      <c r="G19" s="3"/>
      <c r="H19" s="3"/>
    </row>
    <row r="20" spans="1:8" ht="49" customHeight="1">
      <c r="A20" s="4" t="s">
        <v>25</v>
      </c>
      <c r="B20" s="4"/>
      <c r="C20" s="4"/>
      <c r="D20" s="5" t="s">
        <v>26</v>
      </c>
      <c r="E20" s="5"/>
      <c r="F20" s="5"/>
      <c r="G20" s="5"/>
      <c r="H20" s="5"/>
    </row>
    <row r="21" spans="1:8" ht="49" customHeight="1">
      <c r="A21" s="4" t="s">
        <v>27</v>
      </c>
      <c r="B21" s="4"/>
      <c r="C21" s="4"/>
      <c r="D21" s="5" t="s">
        <v>28</v>
      </c>
      <c r="E21" s="5"/>
      <c r="F21" s="5"/>
      <c r="G21" s="5"/>
      <c r="H21" s="5"/>
    </row>
    <row r="22" spans="1:8" ht="49" customHeight="1">
      <c r="A22" s="4" t="s">
        <v>29</v>
      </c>
      <c r="B22" s="4"/>
      <c r="C22" s="4"/>
      <c r="D22" s="5" t="s">
        <v>30</v>
      </c>
      <c r="E22" s="5"/>
      <c r="F22" s="5"/>
      <c r="G22" s="5"/>
      <c r="H22" s="5"/>
    </row>
    <row r="23" spans="1:8" ht="49" customHeight="1">
      <c r="A23" s="4" t="s">
        <v>31</v>
      </c>
      <c r="B23" s="4"/>
      <c r="C23" s="4"/>
      <c r="D23" s="5" t="s">
        <v>32</v>
      </c>
      <c r="E23" s="5"/>
      <c r="F23" s="5"/>
      <c r="G23" s="5"/>
      <c r="H23" s="5"/>
    </row>
    <row r="24" spans="1:8" ht="49" customHeight="1">
      <c r="A24" s="4" t="s">
        <v>33</v>
      </c>
      <c r="B24" s="4"/>
      <c r="C24" s="4"/>
      <c r="D24" s="5" t="s">
        <v>34</v>
      </c>
      <c r="E24" s="5"/>
      <c r="F24" s="5"/>
      <c r="G24" s="5"/>
      <c r="H24" s="5"/>
    </row>
    <row r="25" spans="1:8" ht="49" customHeight="1">
      <c r="A25" s="4" t="s">
        <v>35</v>
      </c>
      <c r="B25" s="4"/>
      <c r="C25" s="4"/>
      <c r="D25" s="5" t="s">
        <v>36</v>
      </c>
      <c r="E25" s="5"/>
      <c r="F25" s="5"/>
      <c r="G25" s="5"/>
      <c r="H25" s="5"/>
    </row>
    <row r="26" spans="1:8" ht="49" customHeight="1">
      <c r="A26" s="4" t="s">
        <v>37</v>
      </c>
      <c r="B26" s="4"/>
      <c r="C26" s="4"/>
      <c r="D26" s="5" t="s">
        <v>38</v>
      </c>
      <c r="E26" s="5"/>
      <c r="F26" s="5"/>
      <c r="G26" s="5"/>
      <c r="H26" s="5"/>
    </row>
    <row r="27" spans="1:8" ht="26" customHeight="1">
      <c r="A27" s="3" t="s">
        <v>39</v>
      </c>
      <c r="B27" s="3"/>
      <c r="C27" s="3"/>
      <c r="D27" s="3"/>
      <c r="E27" s="3"/>
      <c r="F27" s="3"/>
      <c r="G27" s="3"/>
      <c r="H27" s="3"/>
    </row>
    <row r="28" spans="1:8" ht="49" customHeight="1">
      <c r="A28" s="4" t="s">
        <v>40</v>
      </c>
      <c r="B28" s="4"/>
      <c r="C28" s="4"/>
      <c r="D28" s="5" t="s">
        <v>41</v>
      </c>
      <c r="E28" s="5"/>
      <c r="F28" s="5"/>
      <c r="G28" s="5"/>
      <c r="H28" s="5"/>
    </row>
    <row r="29" spans="1:8" ht="49" customHeight="1">
      <c r="A29" s="4" t="s">
        <v>42</v>
      </c>
      <c r="B29" s="4"/>
      <c r="C29" s="4"/>
      <c r="D29" s="5" t="s">
        <v>43</v>
      </c>
      <c r="E29" s="5"/>
      <c r="F29" s="5"/>
      <c r="G29" s="5"/>
      <c r="H29" s="5"/>
    </row>
    <row r="30" spans="1:8" ht="49" customHeight="1">
      <c r="A30" s="4" t="s">
        <v>44</v>
      </c>
      <c r="B30" s="4"/>
      <c r="C30" s="4"/>
      <c r="D30" s="5" t="s">
        <v>45</v>
      </c>
      <c r="E30" s="5"/>
      <c r="F30" s="5"/>
      <c r="G30" s="5"/>
      <c r="H30" s="5"/>
    </row>
    <row r="31" spans="1:8" ht="49" customHeight="1">
      <c r="A31" s="4" t="s">
        <v>46</v>
      </c>
      <c r="B31" s="4"/>
      <c r="C31" s="4"/>
      <c r="D31" s="5" t="s">
        <v>47</v>
      </c>
      <c r="E31" s="5"/>
      <c r="F31" s="5"/>
      <c r="G31" s="5"/>
      <c r="H31" s="5"/>
    </row>
    <row r="32" spans="1:8" ht="49" customHeight="1">
      <c r="A32" s="4" t="s">
        <v>48</v>
      </c>
      <c r="B32" s="4"/>
      <c r="C32" s="4"/>
      <c r="D32" s="5" t="s">
        <v>49</v>
      </c>
      <c r="E32" s="5"/>
      <c r="F32" s="5"/>
      <c r="G32" s="5"/>
      <c r="H32" s="5"/>
    </row>
  </sheetData>
  <mergeCells count="50">
    <mergeCell ref="A1:H2"/>
    <mergeCell ref="A4:H5"/>
    <mergeCell ref="A7:H7"/>
    <mergeCell ref="A8:C8"/>
    <mergeCell ref="D8:H8"/>
    <mergeCell ref="A9:C9"/>
    <mergeCell ref="D9:H9"/>
    <mergeCell ref="A10:C10"/>
    <mergeCell ref="D10:H10"/>
    <mergeCell ref="A11:C11"/>
    <mergeCell ref="D11:H11"/>
    <mergeCell ref="A12:H12"/>
    <mergeCell ref="A13:C13"/>
    <mergeCell ref="D13:H13"/>
    <mergeCell ref="A14:C14"/>
    <mergeCell ref="D14:H14"/>
    <mergeCell ref="A15:C15"/>
    <mergeCell ref="D15:H15"/>
    <mergeCell ref="A16:C16"/>
    <mergeCell ref="D16:H16"/>
    <mergeCell ref="A17:C17"/>
    <mergeCell ref="D17:H17"/>
    <mergeCell ref="A18:C18"/>
    <mergeCell ref="D18:H18"/>
    <mergeCell ref="A19:H19"/>
    <mergeCell ref="A20:C20"/>
    <mergeCell ref="D20:H20"/>
    <mergeCell ref="A21:C21"/>
    <mergeCell ref="D21:H21"/>
    <mergeCell ref="A22:C22"/>
    <mergeCell ref="D22:H22"/>
    <mergeCell ref="A23:C23"/>
    <mergeCell ref="D23:H23"/>
    <mergeCell ref="A24:C24"/>
    <mergeCell ref="D24:H24"/>
    <mergeCell ref="A25:C25"/>
    <mergeCell ref="D25:H25"/>
    <mergeCell ref="A26:C26"/>
    <mergeCell ref="D26:H26"/>
    <mergeCell ref="A27:H27"/>
    <mergeCell ref="A28:C28"/>
    <mergeCell ref="D28:H28"/>
    <mergeCell ref="A29:C29"/>
    <mergeCell ref="D29:H29"/>
    <mergeCell ref="A30:C30"/>
    <mergeCell ref="D30:H30"/>
    <mergeCell ref="A31:C31"/>
    <mergeCell ref="D31:H31"/>
    <mergeCell ref="A32:C32"/>
    <mergeCell ref="D32:H32"/>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tabColor rgb="FF087E8B"/>
    <pageSetUpPr fitToPage="1"/>
  </sheetPr>
  <dimension ref="A1:AP1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0.7109375" customWidth="1"/>
    <col min="2" max="5" width="22.7109375" customWidth="1"/>
    <col min="6" max="6" width="26.7109375" customWidth="1"/>
    <col min="7" max="15" width="22.7109375" customWidth="1"/>
    <col min="16" max="16" width="36.7109375" customWidth="1"/>
    <col min="17" max="22" width="22.7109375" customWidth="1"/>
    <col min="23" max="23" width="23.7109375" customWidth="1"/>
    <col min="24" max="25" width="22.7109375" customWidth="1"/>
    <col min="26" max="26" width="40.7109375" customWidth="1"/>
    <col min="27" max="28" width="22.7109375" customWidth="1"/>
    <col min="29" max="29" width="40.7109375" customWidth="1"/>
    <col min="30" max="32" width="22.7109375" customWidth="1"/>
    <col min="33" max="33" width="42.7109375" customWidth="1"/>
    <col min="34" max="39" width="22.7109375" customWidth="1"/>
    <col min="40" max="40" width="40.7109375" customWidth="1"/>
    <col min="41" max="41" width="43.7109375" customWidth="1"/>
    <col min="42" max="42" width="36.7109375" customWidth="1"/>
  </cols>
  <sheetData>
    <row r="1" spans="1:42" ht="34" customHeight="1">
      <c r="A1" s="1" t="s">
        <v>50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25" customHeight="1">
      <c r="A2" s="2" t="s">
        <v>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2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5" spans="1:42" ht="62" customHeight="1">
      <c r="A5" s="6" t="s">
        <v>52</v>
      </c>
      <c r="B5" s="6" t="s">
        <v>53</v>
      </c>
      <c r="C5" s="6" t="s">
        <v>54</v>
      </c>
      <c r="D5" s="6" t="s">
        <v>55</v>
      </c>
      <c r="E5" s="6" t="s">
        <v>56</v>
      </c>
      <c r="F5" s="6" t="s">
        <v>57</v>
      </c>
      <c r="G5" s="6" t="s">
        <v>58</v>
      </c>
      <c r="H5" s="6" t="s">
        <v>59</v>
      </c>
      <c r="I5" s="6" t="s">
        <v>60</v>
      </c>
      <c r="J5" s="6" t="s">
        <v>61</v>
      </c>
      <c r="K5" s="6" t="s">
        <v>62</v>
      </c>
      <c r="L5" s="6" t="s">
        <v>63</v>
      </c>
      <c r="M5" s="6" t="s">
        <v>64</v>
      </c>
      <c r="N5" s="6" t="s">
        <v>65</v>
      </c>
      <c r="O5" s="6" t="s">
        <v>66</v>
      </c>
      <c r="P5" s="6" t="s">
        <v>67</v>
      </c>
      <c r="Q5" s="6" t="s">
        <v>68</v>
      </c>
      <c r="R5" s="6" t="s">
        <v>69</v>
      </c>
      <c r="S5" s="6" t="s">
        <v>70</v>
      </c>
      <c r="T5" s="6" t="s">
        <v>71</v>
      </c>
      <c r="U5" s="6" t="s">
        <v>72</v>
      </c>
      <c r="V5" s="6" t="s">
        <v>73</v>
      </c>
      <c r="W5" s="6" t="s">
        <v>74</v>
      </c>
      <c r="X5" s="6" t="s">
        <v>75</v>
      </c>
      <c r="Y5" s="6" t="s">
        <v>76</v>
      </c>
      <c r="Z5" s="6" t="s">
        <v>77</v>
      </c>
      <c r="AA5" s="6" t="s">
        <v>78</v>
      </c>
      <c r="AB5" s="6" t="s">
        <v>79</v>
      </c>
      <c r="AC5" s="6" t="s">
        <v>80</v>
      </c>
      <c r="AD5" s="6" t="s">
        <v>81</v>
      </c>
      <c r="AE5" s="6" t="s">
        <v>82</v>
      </c>
      <c r="AF5" s="6" t="s">
        <v>83</v>
      </c>
      <c r="AG5" s="6" t="s">
        <v>84</v>
      </c>
      <c r="AH5" s="6" t="s">
        <v>85</v>
      </c>
      <c r="AI5" s="6" t="s">
        <v>86</v>
      </c>
      <c r="AJ5" s="6" t="s">
        <v>87</v>
      </c>
      <c r="AK5" s="6" t="s">
        <v>88</v>
      </c>
      <c r="AL5" s="6" t="s">
        <v>89</v>
      </c>
      <c r="AM5" s="6" t="s">
        <v>90</v>
      </c>
      <c r="AN5" s="6" t="s">
        <v>91</v>
      </c>
      <c r="AO5" s="6" t="s">
        <v>92</v>
      </c>
      <c r="AP5" s="6" t="s">
        <v>93</v>
      </c>
    </row>
    <row r="6" spans="1:42" ht="32" customHeight="1">
      <c r="A6" s="7"/>
      <c r="B6" s="7"/>
      <c r="C6" s="7"/>
      <c r="D6" s="7"/>
      <c r="E6" s="7"/>
      <c r="F6" s="7"/>
      <c r="G6" s="7"/>
      <c r="H6" s="7"/>
      <c r="I6" s="7"/>
      <c r="J6" s="8"/>
      <c r="K6" s="7"/>
      <c r="L6" s="8"/>
      <c r="M6" s="7"/>
      <c r="N6" s="8"/>
      <c r="O6" s="9">
        <f>IF(COUNTA(I6:N6)=0,"",SUM(J6,L6,N6))</f>
        <v/>
      </c>
      <c r="P6" s="7"/>
      <c r="Q6" s="7"/>
      <c r="R6" s="7"/>
      <c r="S6" s="7"/>
      <c r="T6" s="8"/>
      <c r="U6" s="7"/>
      <c r="V6" s="8"/>
      <c r="W6" s="7"/>
      <c r="X6" s="7"/>
      <c r="Y6" s="7"/>
      <c r="Z6" s="7"/>
      <c r="AA6" s="7"/>
      <c r="AB6" s="7"/>
      <c r="AC6" s="7"/>
      <c r="AD6" s="7"/>
      <c r="AE6" s="7"/>
      <c r="AF6" s="8"/>
      <c r="AG6" s="7"/>
      <c r="AH6" s="8"/>
      <c r="AI6" s="8"/>
      <c r="AJ6" s="8"/>
      <c r="AK6" s="8"/>
      <c r="AL6" s="8"/>
      <c r="AM6" s="8"/>
      <c r="AN6" s="7"/>
      <c r="AO6" s="7"/>
      <c r="AP6" s="7"/>
    </row>
    <row r="7" spans="1:42" ht="32" customHeight="1">
      <c r="A7" s="7"/>
      <c r="B7" s="7"/>
      <c r="C7" s="7"/>
      <c r="D7" s="7"/>
      <c r="E7" s="7"/>
      <c r="F7" s="7"/>
      <c r="G7" s="7"/>
      <c r="H7" s="7"/>
      <c r="I7" s="7"/>
      <c r="J7" s="8"/>
      <c r="K7" s="7"/>
      <c r="L7" s="8"/>
      <c r="M7" s="7"/>
      <c r="N7" s="8"/>
      <c r="O7" s="9">
        <f>IF(COUNTA(I7:N7)=0,"",SUM(J7,L7,N7))</f>
        <v/>
      </c>
      <c r="P7" s="7"/>
      <c r="Q7" s="7"/>
      <c r="R7" s="7"/>
      <c r="S7" s="7"/>
      <c r="T7" s="8"/>
      <c r="U7" s="7"/>
      <c r="V7" s="8"/>
      <c r="W7" s="7"/>
      <c r="X7" s="7"/>
      <c r="Y7" s="7"/>
      <c r="Z7" s="7"/>
      <c r="AA7" s="7"/>
      <c r="AB7" s="7"/>
      <c r="AC7" s="7"/>
      <c r="AD7" s="7"/>
      <c r="AE7" s="7"/>
      <c r="AF7" s="8"/>
      <c r="AG7" s="7"/>
      <c r="AH7" s="8"/>
      <c r="AI7" s="8"/>
      <c r="AJ7" s="8"/>
      <c r="AK7" s="8"/>
      <c r="AL7" s="8"/>
      <c r="AM7" s="8"/>
      <c r="AN7" s="7"/>
      <c r="AO7" s="7"/>
      <c r="AP7" s="7"/>
    </row>
    <row r="8" spans="1:42" ht="32" customHeight="1">
      <c r="A8" s="7"/>
      <c r="B8" s="7"/>
      <c r="C8" s="7"/>
      <c r="D8" s="7"/>
      <c r="E8" s="7"/>
      <c r="F8" s="7"/>
      <c r="G8" s="7"/>
      <c r="H8" s="7"/>
      <c r="I8" s="7"/>
      <c r="J8" s="8"/>
      <c r="K8" s="7"/>
      <c r="L8" s="8"/>
      <c r="M8" s="7"/>
      <c r="N8" s="8"/>
      <c r="O8" s="9">
        <f>IF(COUNTA(I8:N8)=0,"",SUM(J8,L8,N8))</f>
        <v/>
      </c>
      <c r="P8" s="7"/>
      <c r="Q8" s="7"/>
      <c r="R8" s="7"/>
      <c r="S8" s="7"/>
      <c r="T8" s="8"/>
      <c r="U8" s="7"/>
      <c r="V8" s="8"/>
      <c r="W8" s="7"/>
      <c r="X8" s="7"/>
      <c r="Y8" s="7"/>
      <c r="Z8" s="7"/>
      <c r="AA8" s="7"/>
      <c r="AB8" s="7"/>
      <c r="AC8" s="7"/>
      <c r="AD8" s="7"/>
      <c r="AE8" s="7"/>
      <c r="AF8" s="8"/>
      <c r="AG8" s="7"/>
      <c r="AH8" s="8"/>
      <c r="AI8" s="8"/>
      <c r="AJ8" s="8"/>
      <c r="AK8" s="8"/>
      <c r="AL8" s="8"/>
      <c r="AM8" s="8"/>
      <c r="AN8" s="7"/>
      <c r="AO8" s="7"/>
      <c r="AP8" s="7"/>
    </row>
    <row r="9" spans="1:42" ht="32" customHeight="1">
      <c r="A9" s="7"/>
      <c r="B9" s="7"/>
      <c r="C9" s="7"/>
      <c r="D9" s="7"/>
      <c r="E9" s="7"/>
      <c r="F9" s="7"/>
      <c r="G9" s="7"/>
      <c r="H9" s="7"/>
      <c r="I9" s="7"/>
      <c r="J9" s="8"/>
      <c r="K9" s="7"/>
      <c r="L9" s="8"/>
      <c r="M9" s="7"/>
      <c r="N9" s="8"/>
      <c r="O9" s="9">
        <f>IF(COUNTA(I9:N9)=0,"",SUM(J9,L9,N9))</f>
        <v/>
      </c>
      <c r="P9" s="7"/>
      <c r="Q9" s="7"/>
      <c r="R9" s="7"/>
      <c r="S9" s="7"/>
      <c r="T9" s="8"/>
      <c r="U9" s="7"/>
      <c r="V9" s="8"/>
      <c r="W9" s="7"/>
      <c r="X9" s="7"/>
      <c r="Y9" s="7"/>
      <c r="Z9" s="7"/>
      <c r="AA9" s="7"/>
      <c r="AB9" s="7"/>
      <c r="AC9" s="7"/>
      <c r="AD9" s="7"/>
      <c r="AE9" s="7"/>
      <c r="AF9" s="8"/>
      <c r="AG9" s="7"/>
      <c r="AH9" s="8"/>
      <c r="AI9" s="8"/>
      <c r="AJ9" s="8"/>
      <c r="AK9" s="8"/>
      <c r="AL9" s="8"/>
      <c r="AM9" s="8"/>
      <c r="AN9" s="7"/>
      <c r="AO9" s="7"/>
      <c r="AP9" s="7"/>
    </row>
    <row r="10" spans="1:42" ht="32" customHeight="1">
      <c r="A10" s="7"/>
      <c r="B10" s="7"/>
      <c r="C10" s="7"/>
      <c r="D10" s="7"/>
      <c r="E10" s="7"/>
      <c r="F10" s="7"/>
      <c r="G10" s="7"/>
      <c r="H10" s="7"/>
      <c r="I10" s="7"/>
      <c r="J10" s="8"/>
      <c r="K10" s="7"/>
      <c r="L10" s="8"/>
      <c r="M10" s="7"/>
      <c r="N10" s="8"/>
      <c r="O10" s="9">
        <f>IF(COUNTA(I10:N10)=0,"",SUM(J10,L10,N10))</f>
        <v/>
      </c>
      <c r="P10" s="7"/>
      <c r="Q10" s="7"/>
      <c r="R10" s="7"/>
      <c r="S10" s="7"/>
      <c r="T10" s="8"/>
      <c r="U10" s="7"/>
      <c r="V10" s="8"/>
      <c r="W10" s="7"/>
      <c r="X10" s="7"/>
      <c r="Y10" s="7"/>
      <c r="Z10" s="7"/>
      <c r="AA10" s="7"/>
      <c r="AB10" s="7"/>
      <c r="AC10" s="7"/>
      <c r="AD10" s="7"/>
      <c r="AE10" s="7"/>
      <c r="AF10" s="8"/>
      <c r="AG10" s="7"/>
      <c r="AH10" s="8"/>
      <c r="AI10" s="8"/>
      <c r="AJ10" s="8"/>
      <c r="AK10" s="8"/>
      <c r="AL10" s="8"/>
      <c r="AM10" s="8"/>
      <c r="AN10" s="7"/>
      <c r="AO10" s="7"/>
      <c r="AP10" s="7"/>
    </row>
    <row r="11" spans="1:42" ht="32" customHeight="1">
      <c r="A11" s="7"/>
      <c r="B11" s="7"/>
      <c r="C11" s="7"/>
      <c r="D11" s="7"/>
      <c r="E11" s="7"/>
      <c r="F11" s="7"/>
      <c r="G11" s="7"/>
      <c r="H11" s="7"/>
      <c r="I11" s="7"/>
      <c r="J11" s="8"/>
      <c r="K11" s="7"/>
      <c r="L11" s="8"/>
      <c r="M11" s="7"/>
      <c r="N11" s="8"/>
      <c r="O11" s="9">
        <f>IF(COUNTA(I11:N11)=0,"",SUM(J11,L11,N11))</f>
        <v/>
      </c>
      <c r="P11" s="7"/>
      <c r="Q11" s="7"/>
      <c r="R11" s="7"/>
      <c r="S11" s="7"/>
      <c r="T11" s="8"/>
      <c r="U11" s="7"/>
      <c r="V11" s="8"/>
      <c r="W11" s="7"/>
      <c r="X11" s="7"/>
      <c r="Y11" s="7"/>
      <c r="Z11" s="7"/>
      <c r="AA11" s="7"/>
      <c r="AB11" s="7"/>
      <c r="AC11" s="7"/>
      <c r="AD11" s="7"/>
      <c r="AE11" s="7"/>
      <c r="AF11" s="8"/>
      <c r="AG11" s="7"/>
      <c r="AH11" s="8"/>
      <c r="AI11" s="8"/>
      <c r="AJ11" s="8"/>
      <c r="AK11" s="8"/>
      <c r="AL11" s="8"/>
      <c r="AM11" s="8"/>
      <c r="AN11" s="7"/>
      <c r="AO11" s="7"/>
      <c r="AP11" s="7"/>
    </row>
    <row r="12" spans="1:42" ht="32" customHeight="1">
      <c r="A12" s="7"/>
      <c r="B12" s="7"/>
      <c r="C12" s="7"/>
      <c r="D12" s="7"/>
      <c r="E12" s="7"/>
      <c r="F12" s="7"/>
      <c r="G12" s="7"/>
      <c r="H12" s="7"/>
      <c r="I12" s="7"/>
      <c r="J12" s="8"/>
      <c r="K12" s="7"/>
      <c r="L12" s="8"/>
      <c r="M12" s="7"/>
      <c r="N12" s="8"/>
      <c r="O12" s="9">
        <f>IF(COUNTA(I12:N12)=0,"",SUM(J12,L12,N12))</f>
        <v/>
      </c>
      <c r="P12" s="7"/>
      <c r="Q12" s="7"/>
      <c r="R12" s="7"/>
      <c r="S12" s="7"/>
      <c r="T12" s="8"/>
      <c r="U12" s="7"/>
      <c r="V12" s="8"/>
      <c r="W12" s="7"/>
      <c r="X12" s="7"/>
      <c r="Y12" s="7"/>
      <c r="Z12" s="7"/>
      <c r="AA12" s="7"/>
      <c r="AB12" s="7"/>
      <c r="AC12" s="7"/>
      <c r="AD12" s="7"/>
      <c r="AE12" s="7"/>
      <c r="AF12" s="8"/>
      <c r="AG12" s="7"/>
      <c r="AH12" s="8"/>
      <c r="AI12" s="8"/>
      <c r="AJ12" s="8"/>
      <c r="AK12" s="8"/>
      <c r="AL12" s="8"/>
      <c r="AM12" s="8"/>
      <c r="AN12" s="7"/>
      <c r="AO12" s="7"/>
      <c r="AP12" s="7"/>
    </row>
    <row r="13" spans="1:42" ht="32" customHeight="1">
      <c r="A13" s="7"/>
      <c r="B13" s="7"/>
      <c r="C13" s="7"/>
      <c r="D13" s="7"/>
      <c r="E13" s="7"/>
      <c r="F13" s="7"/>
      <c r="G13" s="7"/>
      <c r="H13" s="7"/>
      <c r="I13" s="7"/>
      <c r="J13" s="8"/>
      <c r="K13" s="7"/>
      <c r="L13" s="8"/>
      <c r="M13" s="7"/>
      <c r="N13" s="8"/>
      <c r="O13" s="9">
        <f>IF(COUNTA(I13:N13)=0,"",SUM(J13,L13,N13))</f>
        <v/>
      </c>
      <c r="P13" s="7"/>
      <c r="Q13" s="7"/>
      <c r="R13" s="7"/>
      <c r="S13" s="7"/>
      <c r="T13" s="8"/>
      <c r="U13" s="7"/>
      <c r="V13" s="8"/>
      <c r="W13" s="7"/>
      <c r="X13" s="7"/>
      <c r="Y13" s="7"/>
      <c r="Z13" s="7"/>
      <c r="AA13" s="7"/>
      <c r="AB13" s="7"/>
      <c r="AC13" s="7"/>
      <c r="AD13" s="7"/>
      <c r="AE13" s="7"/>
      <c r="AF13" s="8"/>
      <c r="AG13" s="7"/>
      <c r="AH13" s="8"/>
      <c r="AI13" s="8"/>
      <c r="AJ13" s="8"/>
      <c r="AK13" s="8"/>
      <c r="AL13" s="8"/>
      <c r="AM13" s="8"/>
      <c r="AN13" s="7"/>
      <c r="AO13" s="7"/>
      <c r="AP13" s="7"/>
    </row>
    <row r="14" spans="1:42" ht="32" customHeight="1">
      <c r="A14" s="7"/>
      <c r="B14" s="7"/>
      <c r="C14" s="7"/>
      <c r="D14" s="7"/>
      <c r="E14" s="7"/>
      <c r="F14" s="7"/>
      <c r="G14" s="7"/>
      <c r="H14" s="7"/>
      <c r="I14" s="7"/>
      <c r="J14" s="8"/>
      <c r="K14" s="7"/>
      <c r="L14" s="8"/>
      <c r="M14" s="7"/>
      <c r="N14" s="8"/>
      <c r="O14" s="9">
        <f>IF(COUNTA(I14:N14)=0,"",SUM(J14,L14,N14))</f>
        <v/>
      </c>
      <c r="P14" s="7"/>
      <c r="Q14" s="7"/>
      <c r="R14" s="7"/>
      <c r="S14" s="7"/>
      <c r="T14" s="8"/>
      <c r="U14" s="7"/>
      <c r="V14" s="8"/>
      <c r="W14" s="7"/>
      <c r="X14" s="7"/>
      <c r="Y14" s="7"/>
      <c r="Z14" s="7"/>
      <c r="AA14" s="7"/>
      <c r="AB14" s="7"/>
      <c r="AC14" s="7"/>
      <c r="AD14" s="7"/>
      <c r="AE14" s="7"/>
      <c r="AF14" s="8"/>
      <c r="AG14" s="7"/>
      <c r="AH14" s="8"/>
      <c r="AI14" s="8"/>
      <c r="AJ14" s="8"/>
      <c r="AK14" s="8"/>
      <c r="AL14" s="8"/>
      <c r="AM14" s="8"/>
      <c r="AN14" s="7"/>
      <c r="AO14" s="7"/>
      <c r="AP14" s="7"/>
    </row>
    <row r="15" spans="1:42" ht="32" customHeight="1">
      <c r="A15" s="7"/>
      <c r="B15" s="7"/>
      <c r="C15" s="7"/>
      <c r="D15" s="7"/>
      <c r="E15" s="7"/>
      <c r="F15" s="7"/>
      <c r="G15" s="7"/>
      <c r="H15" s="7"/>
      <c r="I15" s="7"/>
      <c r="J15" s="8"/>
      <c r="K15" s="7"/>
      <c r="L15" s="8"/>
      <c r="M15" s="7"/>
      <c r="N15" s="8"/>
      <c r="O15" s="9">
        <f>IF(COUNTA(I15:N15)=0,"",SUM(J15,L15,N15))</f>
        <v/>
      </c>
      <c r="P15" s="7"/>
      <c r="Q15" s="7"/>
      <c r="R15" s="7"/>
      <c r="S15" s="7"/>
      <c r="T15" s="8"/>
      <c r="U15" s="7"/>
      <c r="V15" s="8"/>
      <c r="W15" s="7"/>
      <c r="X15" s="7"/>
      <c r="Y15" s="7"/>
      <c r="Z15" s="7"/>
      <c r="AA15" s="7"/>
      <c r="AB15" s="7"/>
      <c r="AC15" s="7"/>
      <c r="AD15" s="7"/>
      <c r="AE15" s="7"/>
      <c r="AF15" s="8"/>
      <c r="AG15" s="7"/>
      <c r="AH15" s="8"/>
      <c r="AI15" s="8"/>
      <c r="AJ15" s="8"/>
      <c r="AK15" s="8"/>
      <c r="AL15" s="8"/>
      <c r="AM15" s="8"/>
      <c r="AN15" s="7"/>
      <c r="AO15" s="7"/>
      <c r="AP15" s="7"/>
    </row>
    <row r="16" spans="1:42" ht="32" customHeight="1">
      <c r="A16" s="7"/>
      <c r="B16" s="7"/>
      <c r="C16" s="7"/>
      <c r="D16" s="7"/>
      <c r="E16" s="7"/>
      <c r="F16" s="7"/>
      <c r="G16" s="7"/>
      <c r="H16" s="7"/>
      <c r="I16" s="7"/>
      <c r="J16" s="8"/>
      <c r="K16" s="7"/>
      <c r="L16" s="8"/>
      <c r="M16" s="7"/>
      <c r="N16" s="8"/>
      <c r="O16" s="9">
        <f>IF(COUNTA(I16:N16)=0,"",SUM(J16,L16,N16))</f>
        <v/>
      </c>
      <c r="P16" s="7"/>
      <c r="Q16" s="7"/>
      <c r="R16" s="7"/>
      <c r="S16" s="7"/>
      <c r="T16" s="8"/>
      <c r="U16" s="7"/>
      <c r="V16" s="8"/>
      <c r="W16" s="7"/>
      <c r="X16" s="7"/>
      <c r="Y16" s="7"/>
      <c r="Z16" s="7"/>
      <c r="AA16" s="7"/>
      <c r="AB16" s="7"/>
      <c r="AC16" s="7"/>
      <c r="AD16" s="7"/>
      <c r="AE16" s="7"/>
      <c r="AF16" s="8"/>
      <c r="AG16" s="7"/>
      <c r="AH16" s="8"/>
      <c r="AI16" s="8"/>
      <c r="AJ16" s="8"/>
      <c r="AK16" s="8"/>
      <c r="AL16" s="8"/>
      <c r="AM16" s="8"/>
      <c r="AN16" s="7"/>
      <c r="AO16" s="7"/>
      <c r="AP16" s="7"/>
    </row>
    <row r="17" spans="1:42" ht="32" customHeight="1">
      <c r="A17" s="7"/>
      <c r="B17" s="7"/>
      <c r="C17" s="7"/>
      <c r="D17" s="7"/>
      <c r="E17" s="7"/>
      <c r="F17" s="7"/>
      <c r="G17" s="7"/>
      <c r="H17" s="7"/>
      <c r="I17" s="7"/>
      <c r="J17" s="8"/>
      <c r="K17" s="7"/>
      <c r="L17" s="8"/>
      <c r="M17" s="7"/>
      <c r="N17" s="8"/>
      <c r="O17" s="9">
        <f>IF(COUNTA(I17:N17)=0,"",SUM(J17,L17,N17))</f>
        <v/>
      </c>
      <c r="P17" s="7"/>
      <c r="Q17" s="7"/>
      <c r="R17" s="7"/>
      <c r="S17" s="7"/>
      <c r="T17" s="8"/>
      <c r="U17" s="7"/>
      <c r="V17" s="8"/>
      <c r="W17" s="7"/>
      <c r="X17" s="7"/>
      <c r="Y17" s="7"/>
      <c r="Z17" s="7"/>
      <c r="AA17" s="7"/>
      <c r="AB17" s="7"/>
      <c r="AC17" s="7"/>
      <c r="AD17" s="7"/>
      <c r="AE17" s="7"/>
      <c r="AF17" s="8"/>
      <c r="AG17" s="7"/>
      <c r="AH17" s="8"/>
      <c r="AI17" s="8"/>
      <c r="AJ17" s="8"/>
      <c r="AK17" s="8"/>
      <c r="AL17" s="8"/>
      <c r="AM17" s="8"/>
      <c r="AN17" s="7"/>
      <c r="AO17" s="7"/>
      <c r="AP17" s="7"/>
    </row>
    <row r="18" spans="1:42" ht="32" customHeight="1">
      <c r="A18" s="7"/>
      <c r="B18" s="7"/>
      <c r="C18" s="7"/>
      <c r="D18" s="7"/>
      <c r="E18" s="7"/>
      <c r="F18" s="7"/>
      <c r="G18" s="7"/>
      <c r="H18" s="7"/>
      <c r="I18" s="7"/>
      <c r="J18" s="8"/>
      <c r="K18" s="7"/>
      <c r="L18" s="8"/>
      <c r="M18" s="7"/>
      <c r="N18" s="8"/>
      <c r="O18" s="9">
        <f>IF(COUNTA(I18:N18)=0,"",SUM(J18,L18,N18))</f>
        <v/>
      </c>
      <c r="P18" s="7"/>
      <c r="Q18" s="7"/>
      <c r="R18" s="7"/>
      <c r="S18" s="7"/>
      <c r="T18" s="8"/>
      <c r="U18" s="7"/>
      <c r="V18" s="8"/>
      <c r="W18" s="7"/>
      <c r="X18" s="7"/>
      <c r="Y18" s="7"/>
      <c r="Z18" s="7"/>
      <c r="AA18" s="7"/>
      <c r="AB18" s="7"/>
      <c r="AC18" s="7"/>
      <c r="AD18" s="7"/>
      <c r="AE18" s="7"/>
      <c r="AF18" s="8"/>
      <c r="AG18" s="7"/>
      <c r="AH18" s="8"/>
      <c r="AI18" s="8"/>
      <c r="AJ18" s="8"/>
      <c r="AK18" s="8"/>
      <c r="AL18" s="8"/>
      <c r="AM18" s="8"/>
      <c r="AN18" s="7"/>
      <c r="AO18" s="7"/>
      <c r="AP18" s="7"/>
    </row>
    <row r="19" spans="1:42" ht="32" customHeight="1">
      <c r="A19" s="7"/>
      <c r="B19" s="7"/>
      <c r="C19" s="7"/>
      <c r="D19" s="7"/>
      <c r="E19" s="7"/>
      <c r="F19" s="7"/>
      <c r="G19" s="7"/>
      <c r="H19" s="7"/>
      <c r="I19" s="7"/>
      <c r="J19" s="8"/>
      <c r="K19" s="7"/>
      <c r="L19" s="8"/>
      <c r="M19" s="7"/>
      <c r="N19" s="8"/>
      <c r="O19" s="9">
        <f>IF(COUNTA(I19:N19)=0,"",SUM(J19,L19,N19))</f>
        <v/>
      </c>
      <c r="P19" s="7"/>
      <c r="Q19" s="7"/>
      <c r="R19" s="7"/>
      <c r="S19" s="7"/>
      <c r="T19" s="8"/>
      <c r="U19" s="7"/>
      <c r="V19" s="8"/>
      <c r="W19" s="7"/>
      <c r="X19" s="7"/>
      <c r="Y19" s="7"/>
      <c r="Z19" s="7"/>
      <c r="AA19" s="7"/>
      <c r="AB19" s="7"/>
      <c r="AC19" s="7"/>
      <c r="AD19" s="7"/>
      <c r="AE19" s="7"/>
      <c r="AF19" s="8"/>
      <c r="AG19" s="7"/>
      <c r="AH19" s="8"/>
      <c r="AI19" s="8"/>
      <c r="AJ19" s="8"/>
      <c r="AK19" s="8"/>
      <c r="AL19" s="8"/>
      <c r="AM19" s="8"/>
      <c r="AN19" s="7"/>
      <c r="AO19" s="7"/>
      <c r="AP19" s="7"/>
    </row>
    <row r="20" spans="1:42" ht="32" customHeight="1">
      <c r="A20" s="7"/>
      <c r="B20" s="7"/>
      <c r="C20" s="7"/>
      <c r="D20" s="7"/>
      <c r="E20" s="7"/>
      <c r="F20" s="7"/>
      <c r="G20" s="7"/>
      <c r="H20" s="7"/>
      <c r="I20" s="7"/>
      <c r="J20" s="8"/>
      <c r="K20" s="7"/>
      <c r="L20" s="8"/>
      <c r="M20" s="7"/>
      <c r="N20" s="8"/>
      <c r="O20" s="9">
        <f>IF(COUNTA(I20:N20)=0,"",SUM(J20,L20,N20))</f>
        <v/>
      </c>
      <c r="P20" s="7"/>
      <c r="Q20" s="7"/>
      <c r="R20" s="7"/>
      <c r="S20" s="7"/>
      <c r="T20" s="8"/>
      <c r="U20" s="7"/>
      <c r="V20" s="8"/>
      <c r="W20" s="7"/>
      <c r="X20" s="7"/>
      <c r="Y20" s="7"/>
      <c r="Z20" s="7"/>
      <c r="AA20" s="7"/>
      <c r="AB20" s="7"/>
      <c r="AC20" s="7"/>
      <c r="AD20" s="7"/>
      <c r="AE20" s="7"/>
      <c r="AF20" s="8"/>
      <c r="AG20" s="7"/>
      <c r="AH20" s="8"/>
      <c r="AI20" s="8"/>
      <c r="AJ20" s="8"/>
      <c r="AK20" s="8"/>
      <c r="AL20" s="8"/>
      <c r="AM20" s="8"/>
      <c r="AN20" s="7"/>
      <c r="AO20" s="7"/>
      <c r="AP20" s="7"/>
    </row>
    <row r="21" spans="1:42" ht="32" customHeight="1">
      <c r="A21" s="7"/>
      <c r="B21" s="7"/>
      <c r="C21" s="7"/>
      <c r="D21" s="7"/>
      <c r="E21" s="7"/>
      <c r="F21" s="7"/>
      <c r="G21" s="7"/>
      <c r="H21" s="7"/>
      <c r="I21" s="7"/>
      <c r="J21" s="8"/>
      <c r="K21" s="7"/>
      <c r="L21" s="8"/>
      <c r="M21" s="7"/>
      <c r="N21" s="8"/>
      <c r="O21" s="9">
        <f>IF(COUNTA(I21:N21)=0,"",SUM(J21,L21,N21))</f>
        <v/>
      </c>
      <c r="P21" s="7"/>
      <c r="Q21" s="7"/>
      <c r="R21" s="7"/>
      <c r="S21" s="7"/>
      <c r="T21" s="8"/>
      <c r="U21" s="7"/>
      <c r="V21" s="8"/>
      <c r="W21" s="7"/>
      <c r="X21" s="7"/>
      <c r="Y21" s="7"/>
      <c r="Z21" s="7"/>
      <c r="AA21" s="7"/>
      <c r="AB21" s="7"/>
      <c r="AC21" s="7"/>
      <c r="AD21" s="7"/>
      <c r="AE21" s="7"/>
      <c r="AF21" s="8"/>
      <c r="AG21" s="7"/>
      <c r="AH21" s="8"/>
      <c r="AI21" s="8"/>
      <c r="AJ21" s="8"/>
      <c r="AK21" s="8"/>
      <c r="AL21" s="8"/>
      <c r="AM21" s="8"/>
      <c r="AN21" s="7"/>
      <c r="AO21" s="7"/>
      <c r="AP21" s="7"/>
    </row>
    <row r="22" spans="1:42" ht="32" customHeight="1">
      <c r="A22" s="7"/>
      <c r="B22" s="7"/>
      <c r="C22" s="7"/>
      <c r="D22" s="7"/>
      <c r="E22" s="7"/>
      <c r="F22" s="7"/>
      <c r="G22" s="7"/>
      <c r="H22" s="7"/>
      <c r="I22" s="7"/>
      <c r="J22" s="8"/>
      <c r="K22" s="7"/>
      <c r="L22" s="8"/>
      <c r="M22" s="7"/>
      <c r="N22" s="8"/>
      <c r="O22" s="9">
        <f>IF(COUNTA(I22:N22)=0,"",SUM(J22,L22,N22))</f>
        <v/>
      </c>
      <c r="P22" s="7"/>
      <c r="Q22" s="7"/>
      <c r="R22" s="7"/>
      <c r="S22" s="7"/>
      <c r="T22" s="8"/>
      <c r="U22" s="7"/>
      <c r="V22" s="8"/>
      <c r="W22" s="7"/>
      <c r="X22" s="7"/>
      <c r="Y22" s="7"/>
      <c r="Z22" s="7"/>
      <c r="AA22" s="7"/>
      <c r="AB22" s="7"/>
      <c r="AC22" s="7"/>
      <c r="AD22" s="7"/>
      <c r="AE22" s="7"/>
      <c r="AF22" s="8"/>
      <c r="AG22" s="7"/>
      <c r="AH22" s="8"/>
      <c r="AI22" s="8"/>
      <c r="AJ22" s="8"/>
      <c r="AK22" s="8"/>
      <c r="AL22" s="8"/>
      <c r="AM22" s="8"/>
      <c r="AN22" s="7"/>
      <c r="AO22" s="7"/>
      <c r="AP22" s="7"/>
    </row>
    <row r="23" spans="1:42" ht="32" customHeight="1">
      <c r="A23" s="7"/>
      <c r="B23" s="7"/>
      <c r="C23" s="7"/>
      <c r="D23" s="7"/>
      <c r="E23" s="7"/>
      <c r="F23" s="7"/>
      <c r="G23" s="7"/>
      <c r="H23" s="7"/>
      <c r="I23" s="7"/>
      <c r="J23" s="8"/>
      <c r="K23" s="7"/>
      <c r="L23" s="8"/>
      <c r="M23" s="7"/>
      <c r="N23" s="8"/>
      <c r="O23" s="9">
        <f>IF(COUNTA(I23:N23)=0,"",SUM(J23,L23,N23))</f>
        <v/>
      </c>
      <c r="P23" s="7"/>
      <c r="Q23" s="7"/>
      <c r="R23" s="7"/>
      <c r="S23" s="7"/>
      <c r="T23" s="8"/>
      <c r="U23" s="7"/>
      <c r="V23" s="8"/>
      <c r="W23" s="7"/>
      <c r="X23" s="7"/>
      <c r="Y23" s="7"/>
      <c r="Z23" s="7"/>
      <c r="AA23" s="7"/>
      <c r="AB23" s="7"/>
      <c r="AC23" s="7"/>
      <c r="AD23" s="7"/>
      <c r="AE23" s="7"/>
      <c r="AF23" s="8"/>
      <c r="AG23" s="7"/>
      <c r="AH23" s="8"/>
      <c r="AI23" s="8"/>
      <c r="AJ23" s="8"/>
      <c r="AK23" s="8"/>
      <c r="AL23" s="8"/>
      <c r="AM23" s="8"/>
      <c r="AN23" s="7"/>
      <c r="AO23" s="7"/>
      <c r="AP23" s="7"/>
    </row>
    <row r="24" spans="1:42" ht="32" customHeight="1">
      <c r="A24" s="7"/>
      <c r="B24" s="7"/>
      <c r="C24" s="7"/>
      <c r="D24" s="7"/>
      <c r="E24" s="7"/>
      <c r="F24" s="7"/>
      <c r="G24" s="7"/>
      <c r="H24" s="7"/>
      <c r="I24" s="7"/>
      <c r="J24" s="8"/>
      <c r="K24" s="7"/>
      <c r="L24" s="8"/>
      <c r="M24" s="7"/>
      <c r="N24" s="8"/>
      <c r="O24" s="9">
        <f>IF(COUNTA(I24:N24)=0,"",SUM(J24,L24,N24))</f>
        <v/>
      </c>
      <c r="P24" s="7"/>
      <c r="Q24" s="7"/>
      <c r="R24" s="7"/>
      <c r="S24" s="7"/>
      <c r="T24" s="8"/>
      <c r="U24" s="7"/>
      <c r="V24" s="8"/>
      <c r="W24" s="7"/>
      <c r="X24" s="7"/>
      <c r="Y24" s="7"/>
      <c r="Z24" s="7"/>
      <c r="AA24" s="7"/>
      <c r="AB24" s="7"/>
      <c r="AC24" s="7"/>
      <c r="AD24" s="7"/>
      <c r="AE24" s="7"/>
      <c r="AF24" s="8"/>
      <c r="AG24" s="7"/>
      <c r="AH24" s="8"/>
      <c r="AI24" s="8"/>
      <c r="AJ24" s="8"/>
      <c r="AK24" s="8"/>
      <c r="AL24" s="8"/>
      <c r="AM24" s="8"/>
      <c r="AN24" s="7"/>
      <c r="AO24" s="7"/>
      <c r="AP24" s="7"/>
    </row>
    <row r="25" spans="1:42" ht="32" customHeight="1">
      <c r="A25" s="7"/>
      <c r="B25" s="7"/>
      <c r="C25" s="7"/>
      <c r="D25" s="7"/>
      <c r="E25" s="7"/>
      <c r="F25" s="7"/>
      <c r="G25" s="7"/>
      <c r="H25" s="7"/>
      <c r="I25" s="7"/>
      <c r="J25" s="8"/>
      <c r="K25" s="7"/>
      <c r="L25" s="8"/>
      <c r="M25" s="7"/>
      <c r="N25" s="8"/>
      <c r="O25" s="9">
        <f>IF(COUNTA(I25:N25)=0,"",SUM(J25,L25,N25))</f>
        <v/>
      </c>
      <c r="P25" s="7"/>
      <c r="Q25" s="7"/>
      <c r="R25" s="7"/>
      <c r="S25" s="7"/>
      <c r="T25" s="8"/>
      <c r="U25" s="7"/>
      <c r="V25" s="8"/>
      <c r="W25" s="7"/>
      <c r="X25" s="7"/>
      <c r="Y25" s="7"/>
      <c r="Z25" s="7"/>
      <c r="AA25" s="7"/>
      <c r="AB25" s="7"/>
      <c r="AC25" s="7"/>
      <c r="AD25" s="7"/>
      <c r="AE25" s="7"/>
      <c r="AF25" s="8"/>
      <c r="AG25" s="7"/>
      <c r="AH25" s="8"/>
      <c r="AI25" s="8"/>
      <c r="AJ25" s="8"/>
      <c r="AK25" s="8"/>
      <c r="AL25" s="8"/>
      <c r="AM25" s="8"/>
      <c r="AN25" s="7"/>
      <c r="AO25" s="7"/>
      <c r="AP25" s="7"/>
    </row>
    <row r="26" spans="1:42" ht="32" customHeight="1">
      <c r="A26" s="7"/>
      <c r="B26" s="7"/>
      <c r="C26" s="7"/>
      <c r="D26" s="7"/>
      <c r="E26" s="7"/>
      <c r="F26" s="7"/>
      <c r="G26" s="7"/>
      <c r="H26" s="7"/>
      <c r="I26" s="7"/>
      <c r="J26" s="8"/>
      <c r="K26" s="7"/>
      <c r="L26" s="8"/>
      <c r="M26" s="7"/>
      <c r="N26" s="8"/>
      <c r="O26" s="9">
        <f>IF(COUNTA(I26:N26)=0,"",SUM(J26,L26,N26))</f>
        <v/>
      </c>
      <c r="P26" s="7"/>
      <c r="Q26" s="7"/>
      <c r="R26" s="7"/>
      <c r="S26" s="7"/>
      <c r="T26" s="8"/>
      <c r="U26" s="7"/>
      <c r="V26" s="8"/>
      <c r="W26" s="7"/>
      <c r="X26" s="7"/>
      <c r="Y26" s="7"/>
      <c r="Z26" s="7"/>
      <c r="AA26" s="7"/>
      <c r="AB26" s="7"/>
      <c r="AC26" s="7"/>
      <c r="AD26" s="7"/>
      <c r="AE26" s="7"/>
      <c r="AF26" s="8"/>
      <c r="AG26" s="7"/>
      <c r="AH26" s="8"/>
      <c r="AI26" s="8"/>
      <c r="AJ26" s="8"/>
      <c r="AK26" s="8"/>
      <c r="AL26" s="8"/>
      <c r="AM26" s="8"/>
      <c r="AN26" s="7"/>
      <c r="AO26" s="7"/>
      <c r="AP26" s="7"/>
    </row>
    <row r="27" spans="1:42" ht="32" customHeight="1">
      <c r="A27" s="7"/>
      <c r="B27" s="7"/>
      <c r="C27" s="7"/>
      <c r="D27" s="7"/>
      <c r="E27" s="7"/>
      <c r="F27" s="7"/>
      <c r="G27" s="7"/>
      <c r="H27" s="7"/>
      <c r="I27" s="7"/>
      <c r="J27" s="8"/>
      <c r="K27" s="7"/>
      <c r="L27" s="8"/>
      <c r="M27" s="7"/>
      <c r="N27" s="8"/>
      <c r="O27" s="9">
        <f>IF(COUNTA(I27:N27)=0,"",SUM(J27,L27,N27))</f>
        <v/>
      </c>
      <c r="P27" s="7"/>
      <c r="Q27" s="7"/>
      <c r="R27" s="7"/>
      <c r="S27" s="7"/>
      <c r="T27" s="8"/>
      <c r="U27" s="7"/>
      <c r="V27" s="8"/>
      <c r="W27" s="7"/>
      <c r="X27" s="7"/>
      <c r="Y27" s="7"/>
      <c r="Z27" s="7"/>
      <c r="AA27" s="7"/>
      <c r="AB27" s="7"/>
      <c r="AC27" s="7"/>
      <c r="AD27" s="7"/>
      <c r="AE27" s="7"/>
      <c r="AF27" s="8"/>
      <c r="AG27" s="7"/>
      <c r="AH27" s="8"/>
      <c r="AI27" s="8"/>
      <c r="AJ27" s="8"/>
      <c r="AK27" s="8"/>
      <c r="AL27" s="8"/>
      <c r="AM27" s="8"/>
      <c r="AN27" s="7"/>
      <c r="AO27" s="7"/>
      <c r="AP27" s="7"/>
    </row>
    <row r="28" spans="1:42" ht="32" customHeight="1">
      <c r="A28" s="7"/>
      <c r="B28" s="7"/>
      <c r="C28" s="7"/>
      <c r="D28" s="7"/>
      <c r="E28" s="7"/>
      <c r="F28" s="7"/>
      <c r="G28" s="7"/>
      <c r="H28" s="7"/>
      <c r="I28" s="7"/>
      <c r="J28" s="8"/>
      <c r="K28" s="7"/>
      <c r="L28" s="8"/>
      <c r="M28" s="7"/>
      <c r="N28" s="8"/>
      <c r="O28" s="9">
        <f>IF(COUNTA(I28:N28)=0,"",SUM(J28,L28,N28))</f>
        <v/>
      </c>
      <c r="P28" s="7"/>
      <c r="Q28" s="7"/>
      <c r="R28" s="7"/>
      <c r="S28" s="7"/>
      <c r="T28" s="8"/>
      <c r="U28" s="7"/>
      <c r="V28" s="8"/>
      <c r="W28" s="7"/>
      <c r="X28" s="7"/>
      <c r="Y28" s="7"/>
      <c r="Z28" s="7"/>
      <c r="AA28" s="7"/>
      <c r="AB28" s="7"/>
      <c r="AC28" s="7"/>
      <c r="AD28" s="7"/>
      <c r="AE28" s="7"/>
      <c r="AF28" s="8"/>
      <c r="AG28" s="7"/>
      <c r="AH28" s="8"/>
      <c r="AI28" s="8"/>
      <c r="AJ28" s="8"/>
      <c r="AK28" s="8"/>
      <c r="AL28" s="8"/>
      <c r="AM28" s="8"/>
      <c r="AN28" s="7"/>
      <c r="AO28" s="7"/>
      <c r="AP28" s="7"/>
    </row>
    <row r="29" spans="1:42" ht="32" customHeight="1">
      <c r="A29" s="7"/>
      <c r="B29" s="7"/>
      <c r="C29" s="7"/>
      <c r="D29" s="7"/>
      <c r="E29" s="7"/>
      <c r="F29" s="7"/>
      <c r="G29" s="7"/>
      <c r="H29" s="7"/>
      <c r="I29" s="7"/>
      <c r="J29" s="8"/>
      <c r="K29" s="7"/>
      <c r="L29" s="8"/>
      <c r="M29" s="7"/>
      <c r="N29" s="8"/>
      <c r="O29" s="9">
        <f>IF(COUNTA(I29:N29)=0,"",SUM(J29,L29,N29))</f>
        <v/>
      </c>
      <c r="P29" s="7"/>
      <c r="Q29" s="7"/>
      <c r="R29" s="7"/>
      <c r="S29" s="7"/>
      <c r="T29" s="8"/>
      <c r="U29" s="7"/>
      <c r="V29" s="8"/>
      <c r="W29" s="7"/>
      <c r="X29" s="7"/>
      <c r="Y29" s="7"/>
      <c r="Z29" s="7"/>
      <c r="AA29" s="7"/>
      <c r="AB29" s="7"/>
      <c r="AC29" s="7"/>
      <c r="AD29" s="7"/>
      <c r="AE29" s="7"/>
      <c r="AF29" s="8"/>
      <c r="AG29" s="7"/>
      <c r="AH29" s="8"/>
      <c r="AI29" s="8"/>
      <c r="AJ29" s="8"/>
      <c r="AK29" s="8"/>
      <c r="AL29" s="8"/>
      <c r="AM29" s="8"/>
      <c r="AN29" s="7"/>
      <c r="AO29" s="7"/>
      <c r="AP29" s="7"/>
    </row>
    <row r="30" spans="1:42" ht="32" customHeight="1">
      <c r="A30" s="7"/>
      <c r="B30" s="7"/>
      <c r="C30" s="7"/>
      <c r="D30" s="7"/>
      <c r="E30" s="7"/>
      <c r="F30" s="7"/>
      <c r="G30" s="7"/>
      <c r="H30" s="7"/>
      <c r="I30" s="7"/>
      <c r="J30" s="8"/>
      <c r="K30" s="7"/>
      <c r="L30" s="8"/>
      <c r="M30" s="7"/>
      <c r="N30" s="8"/>
      <c r="O30" s="9">
        <f>IF(COUNTA(I30:N30)=0,"",SUM(J30,L30,N30))</f>
        <v/>
      </c>
      <c r="P30" s="7"/>
      <c r="Q30" s="7"/>
      <c r="R30" s="7"/>
      <c r="S30" s="7"/>
      <c r="T30" s="8"/>
      <c r="U30" s="7"/>
      <c r="V30" s="8"/>
      <c r="W30" s="7"/>
      <c r="X30" s="7"/>
      <c r="Y30" s="7"/>
      <c r="Z30" s="7"/>
      <c r="AA30" s="7"/>
      <c r="AB30" s="7"/>
      <c r="AC30" s="7"/>
      <c r="AD30" s="7"/>
      <c r="AE30" s="7"/>
      <c r="AF30" s="8"/>
      <c r="AG30" s="7"/>
      <c r="AH30" s="8"/>
      <c r="AI30" s="8"/>
      <c r="AJ30" s="8"/>
      <c r="AK30" s="8"/>
      <c r="AL30" s="8"/>
      <c r="AM30" s="8"/>
      <c r="AN30" s="7"/>
      <c r="AO30" s="7"/>
      <c r="AP30" s="7"/>
    </row>
    <row r="31" spans="1:42" ht="32" customHeight="1">
      <c r="A31" s="7"/>
      <c r="B31" s="7"/>
      <c r="C31" s="7"/>
      <c r="D31" s="7"/>
      <c r="E31" s="7"/>
      <c r="F31" s="7"/>
      <c r="G31" s="7"/>
      <c r="H31" s="7"/>
      <c r="I31" s="7"/>
      <c r="J31" s="8"/>
      <c r="K31" s="7"/>
      <c r="L31" s="8"/>
      <c r="M31" s="7"/>
      <c r="N31" s="8"/>
      <c r="O31" s="9">
        <f>IF(COUNTA(I31:N31)=0,"",SUM(J31,L31,N31))</f>
        <v/>
      </c>
      <c r="P31" s="7"/>
      <c r="Q31" s="7"/>
      <c r="R31" s="7"/>
      <c r="S31" s="7"/>
      <c r="T31" s="8"/>
      <c r="U31" s="7"/>
      <c r="V31" s="8"/>
      <c r="W31" s="7"/>
      <c r="X31" s="7"/>
      <c r="Y31" s="7"/>
      <c r="Z31" s="7"/>
      <c r="AA31" s="7"/>
      <c r="AB31" s="7"/>
      <c r="AC31" s="7"/>
      <c r="AD31" s="7"/>
      <c r="AE31" s="7"/>
      <c r="AF31" s="8"/>
      <c r="AG31" s="7"/>
      <c r="AH31" s="8"/>
      <c r="AI31" s="8"/>
      <c r="AJ31" s="8"/>
      <c r="AK31" s="8"/>
      <c r="AL31" s="8"/>
      <c r="AM31" s="8"/>
      <c r="AN31" s="7"/>
      <c r="AO31" s="7"/>
      <c r="AP31" s="7"/>
    </row>
    <row r="32" spans="1:42" ht="32" customHeight="1">
      <c r="A32" s="7"/>
      <c r="B32" s="7"/>
      <c r="C32" s="7"/>
      <c r="D32" s="7"/>
      <c r="E32" s="7"/>
      <c r="F32" s="7"/>
      <c r="G32" s="7"/>
      <c r="H32" s="7"/>
      <c r="I32" s="7"/>
      <c r="J32" s="8"/>
      <c r="K32" s="7"/>
      <c r="L32" s="8"/>
      <c r="M32" s="7"/>
      <c r="N32" s="8"/>
      <c r="O32" s="9">
        <f>IF(COUNTA(I32:N32)=0,"",SUM(J32,L32,N32))</f>
        <v/>
      </c>
      <c r="P32" s="7"/>
      <c r="Q32" s="7"/>
      <c r="R32" s="7"/>
      <c r="S32" s="7"/>
      <c r="T32" s="8"/>
      <c r="U32" s="7"/>
      <c r="V32" s="8"/>
      <c r="W32" s="7"/>
      <c r="X32" s="7"/>
      <c r="Y32" s="7"/>
      <c r="Z32" s="7"/>
      <c r="AA32" s="7"/>
      <c r="AB32" s="7"/>
      <c r="AC32" s="7"/>
      <c r="AD32" s="7"/>
      <c r="AE32" s="7"/>
      <c r="AF32" s="8"/>
      <c r="AG32" s="7"/>
      <c r="AH32" s="8"/>
      <c r="AI32" s="8"/>
      <c r="AJ32" s="8"/>
      <c r="AK32" s="8"/>
      <c r="AL32" s="8"/>
      <c r="AM32" s="8"/>
      <c r="AN32" s="7"/>
      <c r="AO32" s="7"/>
      <c r="AP32" s="7"/>
    </row>
    <row r="33" spans="1:42" ht="32" customHeight="1">
      <c r="A33" s="7"/>
      <c r="B33" s="7"/>
      <c r="C33" s="7"/>
      <c r="D33" s="7"/>
      <c r="E33" s="7"/>
      <c r="F33" s="7"/>
      <c r="G33" s="7"/>
      <c r="H33" s="7"/>
      <c r="I33" s="7"/>
      <c r="J33" s="8"/>
      <c r="K33" s="7"/>
      <c r="L33" s="8"/>
      <c r="M33" s="7"/>
      <c r="N33" s="8"/>
      <c r="O33" s="9">
        <f>IF(COUNTA(I33:N33)=0,"",SUM(J33,L33,N33))</f>
        <v/>
      </c>
      <c r="P33" s="7"/>
      <c r="Q33" s="7"/>
      <c r="R33" s="7"/>
      <c r="S33" s="7"/>
      <c r="T33" s="8"/>
      <c r="U33" s="7"/>
      <c r="V33" s="8"/>
      <c r="W33" s="7"/>
      <c r="X33" s="7"/>
      <c r="Y33" s="7"/>
      <c r="Z33" s="7"/>
      <c r="AA33" s="7"/>
      <c r="AB33" s="7"/>
      <c r="AC33" s="7"/>
      <c r="AD33" s="7"/>
      <c r="AE33" s="7"/>
      <c r="AF33" s="8"/>
      <c r="AG33" s="7"/>
      <c r="AH33" s="8"/>
      <c r="AI33" s="8"/>
      <c r="AJ33" s="8"/>
      <c r="AK33" s="8"/>
      <c r="AL33" s="8"/>
      <c r="AM33" s="8"/>
      <c r="AN33" s="7"/>
      <c r="AO33" s="7"/>
      <c r="AP33" s="7"/>
    </row>
    <row r="34" spans="1:42" ht="32" customHeight="1">
      <c r="A34" s="7"/>
      <c r="B34" s="7"/>
      <c r="C34" s="7"/>
      <c r="D34" s="7"/>
      <c r="E34" s="7"/>
      <c r="F34" s="7"/>
      <c r="G34" s="7"/>
      <c r="H34" s="7"/>
      <c r="I34" s="7"/>
      <c r="J34" s="8"/>
      <c r="K34" s="7"/>
      <c r="L34" s="8"/>
      <c r="M34" s="7"/>
      <c r="N34" s="8"/>
      <c r="O34" s="9">
        <f>IF(COUNTA(I34:N34)=0,"",SUM(J34,L34,N34))</f>
        <v/>
      </c>
      <c r="P34" s="7"/>
      <c r="Q34" s="7"/>
      <c r="R34" s="7"/>
      <c r="S34" s="7"/>
      <c r="T34" s="8"/>
      <c r="U34" s="7"/>
      <c r="V34" s="8"/>
      <c r="W34" s="7"/>
      <c r="X34" s="7"/>
      <c r="Y34" s="7"/>
      <c r="Z34" s="7"/>
      <c r="AA34" s="7"/>
      <c r="AB34" s="7"/>
      <c r="AC34" s="7"/>
      <c r="AD34" s="7"/>
      <c r="AE34" s="7"/>
      <c r="AF34" s="8"/>
      <c r="AG34" s="7"/>
      <c r="AH34" s="8"/>
      <c r="AI34" s="8"/>
      <c r="AJ34" s="8"/>
      <c r="AK34" s="8"/>
      <c r="AL34" s="8"/>
      <c r="AM34" s="8"/>
      <c r="AN34" s="7"/>
      <c r="AO34" s="7"/>
      <c r="AP34" s="7"/>
    </row>
    <row r="35" spans="1:42" ht="32" customHeight="1">
      <c r="A35" s="7"/>
      <c r="B35" s="7"/>
      <c r="C35" s="7"/>
      <c r="D35" s="7"/>
      <c r="E35" s="7"/>
      <c r="F35" s="7"/>
      <c r="G35" s="7"/>
      <c r="H35" s="7"/>
      <c r="I35" s="7"/>
      <c r="J35" s="8"/>
      <c r="K35" s="7"/>
      <c r="L35" s="8"/>
      <c r="M35" s="7"/>
      <c r="N35" s="8"/>
      <c r="O35" s="9">
        <f>IF(COUNTA(I35:N35)=0,"",SUM(J35,L35,N35))</f>
        <v/>
      </c>
      <c r="P35" s="7"/>
      <c r="Q35" s="7"/>
      <c r="R35" s="7"/>
      <c r="S35" s="7"/>
      <c r="T35" s="8"/>
      <c r="U35" s="7"/>
      <c r="V35" s="8"/>
      <c r="W35" s="7"/>
      <c r="X35" s="7"/>
      <c r="Y35" s="7"/>
      <c r="Z35" s="7"/>
      <c r="AA35" s="7"/>
      <c r="AB35" s="7"/>
      <c r="AC35" s="7"/>
      <c r="AD35" s="7"/>
      <c r="AE35" s="7"/>
      <c r="AF35" s="8"/>
      <c r="AG35" s="7"/>
      <c r="AH35" s="8"/>
      <c r="AI35" s="8"/>
      <c r="AJ35" s="8"/>
      <c r="AK35" s="8"/>
      <c r="AL35" s="8"/>
      <c r="AM35" s="8"/>
      <c r="AN35" s="7"/>
      <c r="AO35" s="7"/>
      <c r="AP35" s="7"/>
    </row>
    <row r="36" spans="1:42" ht="32" customHeight="1">
      <c r="A36" s="7"/>
      <c r="B36" s="7"/>
      <c r="C36" s="7"/>
      <c r="D36" s="7"/>
      <c r="E36" s="7"/>
      <c r="F36" s="7"/>
      <c r="G36" s="7"/>
      <c r="H36" s="7"/>
      <c r="I36" s="7"/>
      <c r="J36" s="8"/>
      <c r="K36" s="7"/>
      <c r="L36" s="8"/>
      <c r="M36" s="7"/>
      <c r="N36" s="8"/>
      <c r="O36" s="9">
        <f>IF(COUNTA(I36:N36)=0,"",SUM(J36,L36,N36))</f>
        <v/>
      </c>
      <c r="P36" s="7"/>
      <c r="Q36" s="7"/>
      <c r="R36" s="7"/>
      <c r="S36" s="7"/>
      <c r="T36" s="8"/>
      <c r="U36" s="7"/>
      <c r="V36" s="8"/>
      <c r="W36" s="7"/>
      <c r="X36" s="7"/>
      <c r="Y36" s="7"/>
      <c r="Z36" s="7"/>
      <c r="AA36" s="7"/>
      <c r="AB36" s="7"/>
      <c r="AC36" s="7"/>
      <c r="AD36" s="7"/>
      <c r="AE36" s="7"/>
      <c r="AF36" s="8"/>
      <c r="AG36" s="7"/>
      <c r="AH36" s="8"/>
      <c r="AI36" s="8"/>
      <c r="AJ36" s="8"/>
      <c r="AK36" s="8"/>
      <c r="AL36" s="8"/>
      <c r="AM36" s="8"/>
      <c r="AN36" s="7"/>
      <c r="AO36" s="7"/>
      <c r="AP36" s="7"/>
    </row>
    <row r="37" spans="1:42" ht="32" customHeight="1">
      <c r="A37" s="7"/>
      <c r="B37" s="7"/>
      <c r="C37" s="7"/>
      <c r="D37" s="7"/>
      <c r="E37" s="7"/>
      <c r="F37" s="7"/>
      <c r="G37" s="7"/>
      <c r="H37" s="7"/>
      <c r="I37" s="7"/>
      <c r="J37" s="8"/>
      <c r="K37" s="7"/>
      <c r="L37" s="8"/>
      <c r="M37" s="7"/>
      <c r="N37" s="8"/>
      <c r="O37" s="9">
        <f>IF(COUNTA(I37:N37)=0,"",SUM(J37,L37,N37))</f>
        <v/>
      </c>
      <c r="P37" s="7"/>
      <c r="Q37" s="7"/>
      <c r="R37" s="7"/>
      <c r="S37" s="7"/>
      <c r="T37" s="8"/>
      <c r="U37" s="7"/>
      <c r="V37" s="8"/>
      <c r="W37" s="7"/>
      <c r="X37" s="7"/>
      <c r="Y37" s="7"/>
      <c r="Z37" s="7"/>
      <c r="AA37" s="7"/>
      <c r="AB37" s="7"/>
      <c r="AC37" s="7"/>
      <c r="AD37" s="7"/>
      <c r="AE37" s="7"/>
      <c r="AF37" s="8"/>
      <c r="AG37" s="7"/>
      <c r="AH37" s="8"/>
      <c r="AI37" s="8"/>
      <c r="AJ37" s="8"/>
      <c r="AK37" s="8"/>
      <c r="AL37" s="8"/>
      <c r="AM37" s="8"/>
      <c r="AN37" s="7"/>
      <c r="AO37" s="7"/>
      <c r="AP37" s="7"/>
    </row>
    <row r="38" spans="1:42" ht="32" customHeight="1">
      <c r="A38" s="7"/>
      <c r="B38" s="7"/>
      <c r="C38" s="7"/>
      <c r="D38" s="7"/>
      <c r="E38" s="7"/>
      <c r="F38" s="7"/>
      <c r="G38" s="7"/>
      <c r="H38" s="7"/>
      <c r="I38" s="7"/>
      <c r="J38" s="8"/>
      <c r="K38" s="7"/>
      <c r="L38" s="8"/>
      <c r="M38" s="7"/>
      <c r="N38" s="8"/>
      <c r="O38" s="9">
        <f>IF(COUNTA(I38:N38)=0,"",SUM(J38,L38,N38))</f>
        <v/>
      </c>
      <c r="P38" s="7"/>
      <c r="Q38" s="7"/>
      <c r="R38" s="7"/>
      <c r="S38" s="7"/>
      <c r="T38" s="8"/>
      <c r="U38" s="7"/>
      <c r="V38" s="8"/>
      <c r="W38" s="7"/>
      <c r="X38" s="7"/>
      <c r="Y38" s="7"/>
      <c r="Z38" s="7"/>
      <c r="AA38" s="7"/>
      <c r="AB38" s="7"/>
      <c r="AC38" s="7"/>
      <c r="AD38" s="7"/>
      <c r="AE38" s="7"/>
      <c r="AF38" s="8"/>
      <c r="AG38" s="7"/>
      <c r="AH38" s="8"/>
      <c r="AI38" s="8"/>
      <c r="AJ38" s="8"/>
      <c r="AK38" s="8"/>
      <c r="AL38" s="8"/>
      <c r="AM38" s="8"/>
      <c r="AN38" s="7"/>
      <c r="AO38" s="7"/>
      <c r="AP38" s="7"/>
    </row>
    <row r="39" spans="1:42" ht="32" customHeight="1">
      <c r="A39" s="7"/>
      <c r="B39" s="7"/>
      <c r="C39" s="7"/>
      <c r="D39" s="7"/>
      <c r="E39" s="7"/>
      <c r="F39" s="7"/>
      <c r="G39" s="7"/>
      <c r="H39" s="7"/>
      <c r="I39" s="7"/>
      <c r="J39" s="8"/>
      <c r="K39" s="7"/>
      <c r="L39" s="8"/>
      <c r="M39" s="7"/>
      <c r="N39" s="8"/>
      <c r="O39" s="9">
        <f>IF(COUNTA(I39:N39)=0,"",SUM(J39,L39,N39))</f>
        <v/>
      </c>
      <c r="P39" s="7"/>
      <c r="Q39" s="7"/>
      <c r="R39" s="7"/>
      <c r="S39" s="7"/>
      <c r="T39" s="8"/>
      <c r="U39" s="7"/>
      <c r="V39" s="8"/>
      <c r="W39" s="7"/>
      <c r="X39" s="7"/>
      <c r="Y39" s="7"/>
      <c r="Z39" s="7"/>
      <c r="AA39" s="7"/>
      <c r="AB39" s="7"/>
      <c r="AC39" s="7"/>
      <c r="AD39" s="7"/>
      <c r="AE39" s="7"/>
      <c r="AF39" s="8"/>
      <c r="AG39" s="7"/>
      <c r="AH39" s="8"/>
      <c r="AI39" s="8"/>
      <c r="AJ39" s="8"/>
      <c r="AK39" s="8"/>
      <c r="AL39" s="8"/>
      <c r="AM39" s="8"/>
      <c r="AN39" s="7"/>
      <c r="AO39" s="7"/>
      <c r="AP39" s="7"/>
    </row>
    <row r="40" spans="1:42" ht="32" customHeight="1">
      <c r="A40" s="7"/>
      <c r="B40" s="7"/>
      <c r="C40" s="7"/>
      <c r="D40" s="7"/>
      <c r="E40" s="7"/>
      <c r="F40" s="7"/>
      <c r="G40" s="7"/>
      <c r="H40" s="7"/>
      <c r="I40" s="7"/>
      <c r="J40" s="8"/>
      <c r="K40" s="7"/>
      <c r="L40" s="8"/>
      <c r="M40" s="7"/>
      <c r="N40" s="8"/>
      <c r="O40" s="9">
        <f>IF(COUNTA(I40:N40)=0,"",SUM(J40,L40,N40))</f>
        <v/>
      </c>
      <c r="P40" s="7"/>
      <c r="Q40" s="7"/>
      <c r="R40" s="7"/>
      <c r="S40" s="7"/>
      <c r="T40" s="8"/>
      <c r="U40" s="7"/>
      <c r="V40" s="8"/>
      <c r="W40" s="7"/>
      <c r="X40" s="7"/>
      <c r="Y40" s="7"/>
      <c r="Z40" s="7"/>
      <c r="AA40" s="7"/>
      <c r="AB40" s="7"/>
      <c r="AC40" s="7"/>
      <c r="AD40" s="7"/>
      <c r="AE40" s="7"/>
      <c r="AF40" s="8"/>
      <c r="AG40" s="7"/>
      <c r="AH40" s="8"/>
      <c r="AI40" s="8"/>
      <c r="AJ40" s="8"/>
      <c r="AK40" s="8"/>
      <c r="AL40" s="8"/>
      <c r="AM40" s="8"/>
      <c r="AN40" s="7"/>
      <c r="AO40" s="7"/>
      <c r="AP40" s="7"/>
    </row>
    <row r="41" spans="1:42" ht="32" customHeight="1">
      <c r="A41" s="7"/>
      <c r="B41" s="7"/>
      <c r="C41" s="7"/>
      <c r="D41" s="7"/>
      <c r="E41" s="7"/>
      <c r="F41" s="7"/>
      <c r="G41" s="7"/>
      <c r="H41" s="7"/>
      <c r="I41" s="7"/>
      <c r="J41" s="8"/>
      <c r="K41" s="7"/>
      <c r="L41" s="8"/>
      <c r="M41" s="7"/>
      <c r="N41" s="8"/>
      <c r="O41" s="9">
        <f>IF(COUNTA(I41:N41)=0,"",SUM(J41,L41,N41))</f>
        <v/>
      </c>
      <c r="P41" s="7"/>
      <c r="Q41" s="7"/>
      <c r="R41" s="7"/>
      <c r="S41" s="7"/>
      <c r="T41" s="8"/>
      <c r="U41" s="7"/>
      <c r="V41" s="8"/>
      <c r="W41" s="7"/>
      <c r="X41" s="7"/>
      <c r="Y41" s="7"/>
      <c r="Z41" s="7"/>
      <c r="AA41" s="7"/>
      <c r="AB41" s="7"/>
      <c r="AC41" s="7"/>
      <c r="AD41" s="7"/>
      <c r="AE41" s="7"/>
      <c r="AF41" s="8"/>
      <c r="AG41" s="7"/>
      <c r="AH41" s="8"/>
      <c r="AI41" s="8"/>
      <c r="AJ41" s="8"/>
      <c r="AK41" s="8"/>
      <c r="AL41" s="8"/>
      <c r="AM41" s="8"/>
      <c r="AN41" s="7"/>
      <c r="AO41" s="7"/>
      <c r="AP41" s="7"/>
    </row>
    <row r="42" spans="1:42" ht="32" customHeight="1">
      <c r="A42" s="7"/>
      <c r="B42" s="7"/>
      <c r="C42" s="7"/>
      <c r="D42" s="7"/>
      <c r="E42" s="7"/>
      <c r="F42" s="7"/>
      <c r="G42" s="7"/>
      <c r="H42" s="7"/>
      <c r="I42" s="7"/>
      <c r="J42" s="8"/>
      <c r="K42" s="7"/>
      <c r="L42" s="8"/>
      <c r="M42" s="7"/>
      <c r="N42" s="8"/>
      <c r="O42" s="9">
        <f>IF(COUNTA(I42:N42)=0,"",SUM(J42,L42,N42))</f>
        <v/>
      </c>
      <c r="P42" s="7"/>
      <c r="Q42" s="7"/>
      <c r="R42" s="7"/>
      <c r="S42" s="7"/>
      <c r="T42" s="8"/>
      <c r="U42" s="7"/>
      <c r="V42" s="8"/>
      <c r="W42" s="7"/>
      <c r="X42" s="7"/>
      <c r="Y42" s="7"/>
      <c r="Z42" s="7"/>
      <c r="AA42" s="7"/>
      <c r="AB42" s="7"/>
      <c r="AC42" s="7"/>
      <c r="AD42" s="7"/>
      <c r="AE42" s="7"/>
      <c r="AF42" s="8"/>
      <c r="AG42" s="7"/>
      <c r="AH42" s="8"/>
      <c r="AI42" s="8"/>
      <c r="AJ42" s="8"/>
      <c r="AK42" s="8"/>
      <c r="AL42" s="8"/>
      <c r="AM42" s="8"/>
      <c r="AN42" s="7"/>
      <c r="AO42" s="7"/>
      <c r="AP42" s="7"/>
    </row>
    <row r="43" spans="1:42" ht="32" customHeight="1">
      <c r="A43" s="7"/>
      <c r="B43" s="7"/>
      <c r="C43" s="7"/>
      <c r="D43" s="7"/>
      <c r="E43" s="7"/>
      <c r="F43" s="7"/>
      <c r="G43" s="7"/>
      <c r="H43" s="7"/>
      <c r="I43" s="7"/>
      <c r="J43" s="8"/>
      <c r="K43" s="7"/>
      <c r="L43" s="8"/>
      <c r="M43" s="7"/>
      <c r="N43" s="8"/>
      <c r="O43" s="9">
        <f>IF(COUNTA(I43:N43)=0,"",SUM(J43,L43,N43))</f>
        <v/>
      </c>
      <c r="P43" s="7"/>
      <c r="Q43" s="7"/>
      <c r="R43" s="7"/>
      <c r="S43" s="7"/>
      <c r="T43" s="8"/>
      <c r="U43" s="7"/>
      <c r="V43" s="8"/>
      <c r="W43" s="7"/>
      <c r="X43" s="7"/>
      <c r="Y43" s="7"/>
      <c r="Z43" s="7"/>
      <c r="AA43" s="7"/>
      <c r="AB43" s="7"/>
      <c r="AC43" s="7"/>
      <c r="AD43" s="7"/>
      <c r="AE43" s="7"/>
      <c r="AF43" s="8"/>
      <c r="AG43" s="7"/>
      <c r="AH43" s="8"/>
      <c r="AI43" s="8"/>
      <c r="AJ43" s="8"/>
      <c r="AK43" s="8"/>
      <c r="AL43" s="8"/>
      <c r="AM43" s="8"/>
      <c r="AN43" s="7"/>
      <c r="AO43" s="7"/>
      <c r="AP43" s="7"/>
    </row>
    <row r="44" spans="1:42" ht="32" customHeight="1">
      <c r="A44" s="7"/>
      <c r="B44" s="7"/>
      <c r="C44" s="7"/>
      <c r="D44" s="7"/>
      <c r="E44" s="7"/>
      <c r="F44" s="7"/>
      <c r="G44" s="7"/>
      <c r="H44" s="7"/>
      <c r="I44" s="7"/>
      <c r="J44" s="8"/>
      <c r="K44" s="7"/>
      <c r="L44" s="8"/>
      <c r="M44" s="7"/>
      <c r="N44" s="8"/>
      <c r="O44" s="9">
        <f>IF(COUNTA(I44:N44)=0,"",SUM(J44,L44,N44))</f>
        <v/>
      </c>
      <c r="P44" s="7"/>
      <c r="Q44" s="7"/>
      <c r="R44" s="7"/>
      <c r="S44" s="7"/>
      <c r="T44" s="8"/>
      <c r="U44" s="7"/>
      <c r="V44" s="8"/>
      <c r="W44" s="7"/>
      <c r="X44" s="7"/>
      <c r="Y44" s="7"/>
      <c r="Z44" s="7"/>
      <c r="AA44" s="7"/>
      <c r="AB44" s="7"/>
      <c r="AC44" s="7"/>
      <c r="AD44" s="7"/>
      <c r="AE44" s="7"/>
      <c r="AF44" s="8"/>
      <c r="AG44" s="7"/>
      <c r="AH44" s="8"/>
      <c r="AI44" s="8"/>
      <c r="AJ44" s="8"/>
      <c r="AK44" s="8"/>
      <c r="AL44" s="8"/>
      <c r="AM44" s="8"/>
      <c r="AN44" s="7"/>
      <c r="AO44" s="7"/>
      <c r="AP44" s="7"/>
    </row>
    <row r="45" spans="1:42" ht="32" customHeight="1">
      <c r="A45" s="7"/>
      <c r="B45" s="7"/>
      <c r="C45" s="7"/>
      <c r="D45" s="7"/>
      <c r="E45" s="7"/>
      <c r="F45" s="7"/>
      <c r="G45" s="7"/>
      <c r="H45" s="7"/>
      <c r="I45" s="7"/>
      <c r="J45" s="8"/>
      <c r="K45" s="7"/>
      <c r="L45" s="8"/>
      <c r="M45" s="7"/>
      <c r="N45" s="8"/>
      <c r="O45" s="9">
        <f>IF(COUNTA(I45:N45)=0,"",SUM(J45,L45,N45))</f>
        <v/>
      </c>
      <c r="P45" s="7"/>
      <c r="Q45" s="7"/>
      <c r="R45" s="7"/>
      <c r="S45" s="7"/>
      <c r="T45" s="8"/>
      <c r="U45" s="7"/>
      <c r="V45" s="8"/>
      <c r="W45" s="7"/>
      <c r="X45" s="7"/>
      <c r="Y45" s="7"/>
      <c r="Z45" s="7"/>
      <c r="AA45" s="7"/>
      <c r="AB45" s="7"/>
      <c r="AC45" s="7"/>
      <c r="AD45" s="7"/>
      <c r="AE45" s="7"/>
      <c r="AF45" s="8"/>
      <c r="AG45" s="7"/>
      <c r="AH45" s="8"/>
      <c r="AI45" s="8"/>
      <c r="AJ45" s="8"/>
      <c r="AK45" s="8"/>
      <c r="AL45" s="8"/>
      <c r="AM45" s="8"/>
      <c r="AN45" s="7"/>
      <c r="AO45" s="7"/>
      <c r="AP45" s="7"/>
    </row>
    <row r="46" spans="1:42" ht="32" customHeight="1">
      <c r="A46" s="7"/>
      <c r="B46" s="7"/>
      <c r="C46" s="7"/>
      <c r="D46" s="7"/>
      <c r="E46" s="7"/>
      <c r="F46" s="7"/>
      <c r="G46" s="7"/>
      <c r="H46" s="7"/>
      <c r="I46" s="7"/>
      <c r="J46" s="8"/>
      <c r="K46" s="7"/>
      <c r="L46" s="8"/>
      <c r="M46" s="7"/>
      <c r="N46" s="8"/>
      <c r="O46" s="9">
        <f>IF(COUNTA(I46:N46)=0,"",SUM(J46,L46,N46))</f>
        <v/>
      </c>
      <c r="P46" s="7"/>
      <c r="Q46" s="7"/>
      <c r="R46" s="7"/>
      <c r="S46" s="7"/>
      <c r="T46" s="8"/>
      <c r="U46" s="7"/>
      <c r="V46" s="8"/>
      <c r="W46" s="7"/>
      <c r="X46" s="7"/>
      <c r="Y46" s="7"/>
      <c r="Z46" s="7"/>
      <c r="AA46" s="7"/>
      <c r="AB46" s="7"/>
      <c r="AC46" s="7"/>
      <c r="AD46" s="7"/>
      <c r="AE46" s="7"/>
      <c r="AF46" s="8"/>
      <c r="AG46" s="7"/>
      <c r="AH46" s="8"/>
      <c r="AI46" s="8"/>
      <c r="AJ46" s="8"/>
      <c r="AK46" s="8"/>
      <c r="AL46" s="8"/>
      <c r="AM46" s="8"/>
      <c r="AN46" s="7"/>
      <c r="AO46" s="7"/>
      <c r="AP46" s="7"/>
    </row>
    <row r="47" spans="1:42" ht="32" customHeight="1">
      <c r="A47" s="7"/>
      <c r="B47" s="7"/>
      <c r="C47" s="7"/>
      <c r="D47" s="7"/>
      <c r="E47" s="7"/>
      <c r="F47" s="7"/>
      <c r="G47" s="7"/>
      <c r="H47" s="7"/>
      <c r="I47" s="7"/>
      <c r="J47" s="8"/>
      <c r="K47" s="7"/>
      <c r="L47" s="8"/>
      <c r="M47" s="7"/>
      <c r="N47" s="8"/>
      <c r="O47" s="9">
        <f>IF(COUNTA(I47:N47)=0,"",SUM(J47,L47,N47))</f>
        <v/>
      </c>
      <c r="P47" s="7"/>
      <c r="Q47" s="7"/>
      <c r="R47" s="7"/>
      <c r="S47" s="7"/>
      <c r="T47" s="8"/>
      <c r="U47" s="7"/>
      <c r="V47" s="8"/>
      <c r="W47" s="7"/>
      <c r="X47" s="7"/>
      <c r="Y47" s="7"/>
      <c r="Z47" s="7"/>
      <c r="AA47" s="7"/>
      <c r="AB47" s="7"/>
      <c r="AC47" s="7"/>
      <c r="AD47" s="7"/>
      <c r="AE47" s="7"/>
      <c r="AF47" s="8"/>
      <c r="AG47" s="7"/>
      <c r="AH47" s="8"/>
      <c r="AI47" s="8"/>
      <c r="AJ47" s="8"/>
      <c r="AK47" s="8"/>
      <c r="AL47" s="8"/>
      <c r="AM47" s="8"/>
      <c r="AN47" s="7"/>
      <c r="AO47" s="7"/>
      <c r="AP47" s="7"/>
    </row>
    <row r="48" spans="1:42" ht="32" customHeight="1">
      <c r="A48" s="7"/>
      <c r="B48" s="7"/>
      <c r="C48" s="7"/>
      <c r="D48" s="7"/>
      <c r="E48" s="7"/>
      <c r="F48" s="7"/>
      <c r="G48" s="7"/>
      <c r="H48" s="7"/>
      <c r="I48" s="7"/>
      <c r="J48" s="8"/>
      <c r="K48" s="7"/>
      <c r="L48" s="8"/>
      <c r="M48" s="7"/>
      <c r="N48" s="8"/>
      <c r="O48" s="9">
        <f>IF(COUNTA(I48:N48)=0,"",SUM(J48,L48,N48))</f>
        <v/>
      </c>
      <c r="P48" s="7"/>
      <c r="Q48" s="7"/>
      <c r="R48" s="7"/>
      <c r="S48" s="7"/>
      <c r="T48" s="8"/>
      <c r="U48" s="7"/>
      <c r="V48" s="8"/>
      <c r="W48" s="7"/>
      <c r="X48" s="7"/>
      <c r="Y48" s="7"/>
      <c r="Z48" s="7"/>
      <c r="AA48" s="7"/>
      <c r="AB48" s="7"/>
      <c r="AC48" s="7"/>
      <c r="AD48" s="7"/>
      <c r="AE48" s="7"/>
      <c r="AF48" s="8"/>
      <c r="AG48" s="7"/>
      <c r="AH48" s="8"/>
      <c r="AI48" s="8"/>
      <c r="AJ48" s="8"/>
      <c r="AK48" s="8"/>
      <c r="AL48" s="8"/>
      <c r="AM48" s="8"/>
      <c r="AN48" s="7"/>
      <c r="AO48" s="7"/>
      <c r="AP48" s="7"/>
    </row>
    <row r="49" spans="1:42" ht="32" customHeight="1">
      <c r="A49" s="7"/>
      <c r="B49" s="7"/>
      <c r="C49" s="7"/>
      <c r="D49" s="7"/>
      <c r="E49" s="7"/>
      <c r="F49" s="7"/>
      <c r="G49" s="7"/>
      <c r="H49" s="7"/>
      <c r="I49" s="7"/>
      <c r="J49" s="8"/>
      <c r="K49" s="7"/>
      <c r="L49" s="8"/>
      <c r="M49" s="7"/>
      <c r="N49" s="8"/>
      <c r="O49" s="9">
        <f>IF(COUNTA(I49:N49)=0,"",SUM(J49,L49,N49))</f>
        <v/>
      </c>
      <c r="P49" s="7"/>
      <c r="Q49" s="7"/>
      <c r="R49" s="7"/>
      <c r="S49" s="7"/>
      <c r="T49" s="8"/>
      <c r="U49" s="7"/>
      <c r="V49" s="8"/>
      <c r="W49" s="7"/>
      <c r="X49" s="7"/>
      <c r="Y49" s="7"/>
      <c r="Z49" s="7"/>
      <c r="AA49" s="7"/>
      <c r="AB49" s="7"/>
      <c r="AC49" s="7"/>
      <c r="AD49" s="7"/>
      <c r="AE49" s="7"/>
      <c r="AF49" s="8"/>
      <c r="AG49" s="7"/>
      <c r="AH49" s="8"/>
      <c r="AI49" s="8"/>
      <c r="AJ49" s="8"/>
      <c r="AK49" s="8"/>
      <c r="AL49" s="8"/>
      <c r="AM49" s="8"/>
      <c r="AN49" s="7"/>
      <c r="AO49" s="7"/>
      <c r="AP49" s="7"/>
    </row>
    <row r="50" spans="1:42" ht="32" customHeight="1">
      <c r="A50" s="7"/>
      <c r="B50" s="7"/>
      <c r="C50" s="7"/>
      <c r="D50" s="7"/>
      <c r="E50" s="7"/>
      <c r="F50" s="7"/>
      <c r="G50" s="7"/>
      <c r="H50" s="7"/>
      <c r="I50" s="7"/>
      <c r="J50" s="8"/>
      <c r="K50" s="7"/>
      <c r="L50" s="8"/>
      <c r="M50" s="7"/>
      <c r="N50" s="8"/>
      <c r="O50" s="9">
        <f>IF(COUNTA(I50:N50)=0,"",SUM(J50,L50,N50))</f>
        <v/>
      </c>
      <c r="P50" s="7"/>
      <c r="Q50" s="7"/>
      <c r="R50" s="7"/>
      <c r="S50" s="7"/>
      <c r="T50" s="8"/>
      <c r="U50" s="7"/>
      <c r="V50" s="8"/>
      <c r="W50" s="7"/>
      <c r="X50" s="7"/>
      <c r="Y50" s="7"/>
      <c r="Z50" s="7"/>
      <c r="AA50" s="7"/>
      <c r="AB50" s="7"/>
      <c r="AC50" s="7"/>
      <c r="AD50" s="7"/>
      <c r="AE50" s="7"/>
      <c r="AF50" s="8"/>
      <c r="AG50" s="7"/>
      <c r="AH50" s="8"/>
      <c r="AI50" s="8"/>
      <c r="AJ50" s="8"/>
      <c r="AK50" s="8"/>
      <c r="AL50" s="8"/>
      <c r="AM50" s="8"/>
      <c r="AN50" s="7"/>
      <c r="AO50" s="7"/>
      <c r="AP50" s="7"/>
    </row>
    <row r="51" spans="1:42" ht="32" customHeight="1">
      <c r="A51" s="7"/>
      <c r="B51" s="7"/>
      <c r="C51" s="7"/>
      <c r="D51" s="7"/>
      <c r="E51" s="7"/>
      <c r="F51" s="7"/>
      <c r="G51" s="7"/>
      <c r="H51" s="7"/>
      <c r="I51" s="7"/>
      <c r="J51" s="8"/>
      <c r="K51" s="7"/>
      <c r="L51" s="8"/>
      <c r="M51" s="7"/>
      <c r="N51" s="8"/>
      <c r="O51" s="9">
        <f>IF(COUNTA(I51:N51)=0,"",SUM(J51,L51,N51))</f>
        <v/>
      </c>
      <c r="P51" s="7"/>
      <c r="Q51" s="7"/>
      <c r="R51" s="7"/>
      <c r="S51" s="7"/>
      <c r="T51" s="8"/>
      <c r="U51" s="7"/>
      <c r="V51" s="8"/>
      <c r="W51" s="7"/>
      <c r="X51" s="7"/>
      <c r="Y51" s="7"/>
      <c r="Z51" s="7"/>
      <c r="AA51" s="7"/>
      <c r="AB51" s="7"/>
      <c r="AC51" s="7"/>
      <c r="AD51" s="7"/>
      <c r="AE51" s="7"/>
      <c r="AF51" s="8"/>
      <c r="AG51" s="7"/>
      <c r="AH51" s="8"/>
      <c r="AI51" s="8"/>
      <c r="AJ51" s="8"/>
      <c r="AK51" s="8"/>
      <c r="AL51" s="8"/>
      <c r="AM51" s="8"/>
      <c r="AN51" s="7"/>
      <c r="AO51" s="7"/>
      <c r="AP51" s="7"/>
    </row>
    <row r="52" spans="1:42" ht="32" customHeight="1">
      <c r="A52" s="7"/>
      <c r="B52" s="7"/>
      <c r="C52" s="7"/>
      <c r="D52" s="7"/>
      <c r="E52" s="7"/>
      <c r="F52" s="7"/>
      <c r="G52" s="7"/>
      <c r="H52" s="7"/>
      <c r="I52" s="7"/>
      <c r="J52" s="8"/>
      <c r="K52" s="7"/>
      <c r="L52" s="8"/>
      <c r="M52" s="7"/>
      <c r="N52" s="8"/>
      <c r="O52" s="9">
        <f>IF(COUNTA(I52:N52)=0,"",SUM(J52,L52,N52))</f>
        <v/>
      </c>
      <c r="P52" s="7"/>
      <c r="Q52" s="7"/>
      <c r="R52" s="7"/>
      <c r="S52" s="7"/>
      <c r="T52" s="8"/>
      <c r="U52" s="7"/>
      <c r="V52" s="8"/>
      <c r="W52" s="7"/>
      <c r="X52" s="7"/>
      <c r="Y52" s="7"/>
      <c r="Z52" s="7"/>
      <c r="AA52" s="7"/>
      <c r="AB52" s="7"/>
      <c r="AC52" s="7"/>
      <c r="AD52" s="7"/>
      <c r="AE52" s="7"/>
      <c r="AF52" s="8"/>
      <c r="AG52" s="7"/>
      <c r="AH52" s="8"/>
      <c r="AI52" s="8"/>
      <c r="AJ52" s="8"/>
      <c r="AK52" s="8"/>
      <c r="AL52" s="8"/>
      <c r="AM52" s="8"/>
      <c r="AN52" s="7"/>
      <c r="AO52" s="7"/>
      <c r="AP52" s="7"/>
    </row>
    <row r="53" spans="1:42" ht="32" customHeight="1">
      <c r="A53" s="7"/>
      <c r="B53" s="7"/>
      <c r="C53" s="7"/>
      <c r="D53" s="7"/>
      <c r="E53" s="7"/>
      <c r="F53" s="7"/>
      <c r="G53" s="7"/>
      <c r="H53" s="7"/>
      <c r="I53" s="7"/>
      <c r="J53" s="8"/>
      <c r="K53" s="7"/>
      <c r="L53" s="8"/>
      <c r="M53" s="7"/>
      <c r="N53" s="8"/>
      <c r="O53" s="9">
        <f>IF(COUNTA(I53:N53)=0,"",SUM(J53,L53,N53))</f>
        <v/>
      </c>
      <c r="P53" s="7"/>
      <c r="Q53" s="7"/>
      <c r="R53" s="7"/>
      <c r="S53" s="7"/>
      <c r="T53" s="8"/>
      <c r="U53" s="7"/>
      <c r="V53" s="8"/>
      <c r="W53" s="7"/>
      <c r="X53" s="7"/>
      <c r="Y53" s="7"/>
      <c r="Z53" s="7"/>
      <c r="AA53" s="7"/>
      <c r="AB53" s="7"/>
      <c r="AC53" s="7"/>
      <c r="AD53" s="7"/>
      <c r="AE53" s="7"/>
      <c r="AF53" s="8"/>
      <c r="AG53" s="7"/>
      <c r="AH53" s="8"/>
      <c r="AI53" s="8"/>
      <c r="AJ53" s="8"/>
      <c r="AK53" s="8"/>
      <c r="AL53" s="8"/>
      <c r="AM53" s="8"/>
      <c r="AN53" s="7"/>
      <c r="AO53" s="7"/>
      <c r="AP53" s="7"/>
    </row>
    <row r="54" spans="1:42" ht="32" customHeight="1">
      <c r="A54" s="7"/>
      <c r="B54" s="7"/>
      <c r="C54" s="7"/>
      <c r="D54" s="7"/>
      <c r="E54" s="7"/>
      <c r="F54" s="7"/>
      <c r="G54" s="7"/>
      <c r="H54" s="7"/>
      <c r="I54" s="7"/>
      <c r="J54" s="8"/>
      <c r="K54" s="7"/>
      <c r="L54" s="8"/>
      <c r="M54" s="7"/>
      <c r="N54" s="8"/>
      <c r="O54" s="9">
        <f>IF(COUNTA(I54:N54)=0,"",SUM(J54,L54,N54))</f>
        <v/>
      </c>
      <c r="P54" s="7"/>
      <c r="Q54" s="7"/>
      <c r="R54" s="7"/>
      <c r="S54" s="7"/>
      <c r="T54" s="8"/>
      <c r="U54" s="7"/>
      <c r="V54" s="8"/>
      <c r="W54" s="7"/>
      <c r="X54" s="7"/>
      <c r="Y54" s="7"/>
      <c r="Z54" s="7"/>
      <c r="AA54" s="7"/>
      <c r="AB54" s="7"/>
      <c r="AC54" s="7"/>
      <c r="AD54" s="7"/>
      <c r="AE54" s="7"/>
      <c r="AF54" s="8"/>
      <c r="AG54" s="7"/>
      <c r="AH54" s="8"/>
      <c r="AI54" s="8"/>
      <c r="AJ54" s="8"/>
      <c r="AK54" s="8"/>
      <c r="AL54" s="8"/>
      <c r="AM54" s="8"/>
      <c r="AN54" s="7"/>
      <c r="AO54" s="7"/>
      <c r="AP54" s="7"/>
    </row>
    <row r="55" spans="1:42" ht="32" customHeight="1">
      <c r="A55" s="7"/>
      <c r="B55" s="7"/>
      <c r="C55" s="7"/>
      <c r="D55" s="7"/>
      <c r="E55" s="7"/>
      <c r="F55" s="7"/>
      <c r="G55" s="7"/>
      <c r="H55" s="7"/>
      <c r="I55" s="7"/>
      <c r="J55" s="8"/>
      <c r="K55" s="7"/>
      <c r="L55" s="8"/>
      <c r="M55" s="7"/>
      <c r="N55" s="8"/>
      <c r="O55" s="9">
        <f>IF(COUNTA(I55:N55)=0,"",SUM(J55,L55,N55))</f>
        <v/>
      </c>
      <c r="P55" s="7"/>
      <c r="Q55" s="7"/>
      <c r="R55" s="7"/>
      <c r="S55" s="7"/>
      <c r="T55" s="8"/>
      <c r="U55" s="7"/>
      <c r="V55" s="8"/>
      <c r="W55" s="7"/>
      <c r="X55" s="7"/>
      <c r="Y55" s="7"/>
      <c r="Z55" s="7"/>
      <c r="AA55" s="7"/>
      <c r="AB55" s="7"/>
      <c r="AC55" s="7"/>
      <c r="AD55" s="7"/>
      <c r="AE55" s="7"/>
      <c r="AF55" s="8"/>
      <c r="AG55" s="7"/>
      <c r="AH55" s="8"/>
      <c r="AI55" s="8"/>
      <c r="AJ55" s="8"/>
      <c r="AK55" s="8"/>
      <c r="AL55" s="8"/>
      <c r="AM55" s="8"/>
      <c r="AN55" s="7"/>
      <c r="AO55" s="7"/>
      <c r="AP55" s="7"/>
    </row>
    <row r="56" spans="1:42" ht="32" customHeight="1">
      <c r="A56" s="7"/>
      <c r="B56" s="7"/>
      <c r="C56" s="7"/>
      <c r="D56" s="7"/>
      <c r="E56" s="7"/>
      <c r="F56" s="7"/>
      <c r="G56" s="7"/>
      <c r="H56" s="7"/>
      <c r="I56" s="7"/>
      <c r="J56" s="8"/>
      <c r="K56" s="7"/>
      <c r="L56" s="8"/>
      <c r="M56" s="7"/>
      <c r="N56" s="8"/>
      <c r="O56" s="9">
        <f>IF(COUNTA(I56:N56)=0,"",SUM(J56,L56,N56))</f>
        <v/>
      </c>
      <c r="P56" s="7"/>
      <c r="Q56" s="7"/>
      <c r="R56" s="7"/>
      <c r="S56" s="7"/>
      <c r="T56" s="8"/>
      <c r="U56" s="7"/>
      <c r="V56" s="8"/>
      <c r="W56" s="7"/>
      <c r="X56" s="7"/>
      <c r="Y56" s="7"/>
      <c r="Z56" s="7"/>
      <c r="AA56" s="7"/>
      <c r="AB56" s="7"/>
      <c r="AC56" s="7"/>
      <c r="AD56" s="7"/>
      <c r="AE56" s="7"/>
      <c r="AF56" s="8"/>
      <c r="AG56" s="7"/>
      <c r="AH56" s="8"/>
      <c r="AI56" s="8"/>
      <c r="AJ56" s="8"/>
      <c r="AK56" s="8"/>
      <c r="AL56" s="8"/>
      <c r="AM56" s="8"/>
      <c r="AN56" s="7"/>
      <c r="AO56" s="7"/>
      <c r="AP56" s="7"/>
    </row>
    <row r="57" spans="1:42" ht="32" customHeight="1">
      <c r="A57" s="7"/>
      <c r="B57" s="7"/>
      <c r="C57" s="7"/>
      <c r="D57" s="7"/>
      <c r="E57" s="7"/>
      <c r="F57" s="7"/>
      <c r="G57" s="7"/>
      <c r="H57" s="7"/>
      <c r="I57" s="7"/>
      <c r="J57" s="8"/>
      <c r="K57" s="7"/>
      <c r="L57" s="8"/>
      <c r="M57" s="7"/>
      <c r="N57" s="8"/>
      <c r="O57" s="9">
        <f>IF(COUNTA(I57:N57)=0,"",SUM(J57,L57,N57))</f>
        <v/>
      </c>
      <c r="P57" s="7"/>
      <c r="Q57" s="7"/>
      <c r="R57" s="7"/>
      <c r="S57" s="7"/>
      <c r="T57" s="8"/>
      <c r="U57" s="7"/>
      <c r="V57" s="8"/>
      <c r="W57" s="7"/>
      <c r="X57" s="7"/>
      <c r="Y57" s="7"/>
      <c r="Z57" s="7"/>
      <c r="AA57" s="7"/>
      <c r="AB57" s="7"/>
      <c r="AC57" s="7"/>
      <c r="AD57" s="7"/>
      <c r="AE57" s="7"/>
      <c r="AF57" s="8"/>
      <c r="AG57" s="7"/>
      <c r="AH57" s="8"/>
      <c r="AI57" s="8"/>
      <c r="AJ57" s="8"/>
      <c r="AK57" s="8"/>
      <c r="AL57" s="8"/>
      <c r="AM57" s="8"/>
      <c r="AN57" s="7"/>
      <c r="AO57" s="7"/>
      <c r="AP57" s="7"/>
    </row>
    <row r="58" spans="1:42" ht="32" customHeight="1">
      <c r="A58" s="7"/>
      <c r="B58" s="7"/>
      <c r="C58" s="7"/>
      <c r="D58" s="7"/>
      <c r="E58" s="7"/>
      <c r="F58" s="7"/>
      <c r="G58" s="7"/>
      <c r="H58" s="7"/>
      <c r="I58" s="7"/>
      <c r="J58" s="8"/>
      <c r="K58" s="7"/>
      <c r="L58" s="8"/>
      <c r="M58" s="7"/>
      <c r="N58" s="8"/>
      <c r="O58" s="9">
        <f>IF(COUNTA(I58:N58)=0,"",SUM(J58,L58,N58))</f>
        <v/>
      </c>
      <c r="P58" s="7"/>
      <c r="Q58" s="7"/>
      <c r="R58" s="7"/>
      <c r="S58" s="7"/>
      <c r="T58" s="8"/>
      <c r="U58" s="7"/>
      <c r="V58" s="8"/>
      <c r="W58" s="7"/>
      <c r="X58" s="7"/>
      <c r="Y58" s="7"/>
      <c r="Z58" s="7"/>
      <c r="AA58" s="7"/>
      <c r="AB58" s="7"/>
      <c r="AC58" s="7"/>
      <c r="AD58" s="7"/>
      <c r="AE58" s="7"/>
      <c r="AF58" s="8"/>
      <c r="AG58" s="7"/>
      <c r="AH58" s="8"/>
      <c r="AI58" s="8"/>
      <c r="AJ58" s="8"/>
      <c r="AK58" s="8"/>
      <c r="AL58" s="8"/>
      <c r="AM58" s="8"/>
      <c r="AN58" s="7"/>
      <c r="AO58" s="7"/>
      <c r="AP58" s="7"/>
    </row>
    <row r="59" spans="1:42" ht="32" customHeight="1">
      <c r="A59" s="7"/>
      <c r="B59" s="7"/>
      <c r="C59" s="7"/>
      <c r="D59" s="7"/>
      <c r="E59" s="7"/>
      <c r="F59" s="7"/>
      <c r="G59" s="7"/>
      <c r="H59" s="7"/>
      <c r="I59" s="7"/>
      <c r="J59" s="8"/>
      <c r="K59" s="7"/>
      <c r="L59" s="8"/>
      <c r="M59" s="7"/>
      <c r="N59" s="8"/>
      <c r="O59" s="9">
        <f>IF(COUNTA(I59:N59)=0,"",SUM(J59,L59,N59))</f>
        <v/>
      </c>
      <c r="P59" s="7"/>
      <c r="Q59" s="7"/>
      <c r="R59" s="7"/>
      <c r="S59" s="7"/>
      <c r="T59" s="8"/>
      <c r="U59" s="7"/>
      <c r="V59" s="8"/>
      <c r="W59" s="7"/>
      <c r="X59" s="7"/>
      <c r="Y59" s="7"/>
      <c r="Z59" s="7"/>
      <c r="AA59" s="7"/>
      <c r="AB59" s="7"/>
      <c r="AC59" s="7"/>
      <c r="AD59" s="7"/>
      <c r="AE59" s="7"/>
      <c r="AF59" s="8"/>
      <c r="AG59" s="7"/>
      <c r="AH59" s="8"/>
      <c r="AI59" s="8"/>
      <c r="AJ59" s="8"/>
      <c r="AK59" s="8"/>
      <c r="AL59" s="8"/>
      <c r="AM59" s="8"/>
      <c r="AN59" s="7"/>
      <c r="AO59" s="7"/>
      <c r="AP59" s="7"/>
    </row>
    <row r="60" spans="1:42" ht="32" customHeight="1">
      <c r="A60" s="7"/>
      <c r="B60" s="7"/>
      <c r="C60" s="7"/>
      <c r="D60" s="7"/>
      <c r="E60" s="7"/>
      <c r="F60" s="7"/>
      <c r="G60" s="7"/>
      <c r="H60" s="7"/>
      <c r="I60" s="7"/>
      <c r="J60" s="8"/>
      <c r="K60" s="7"/>
      <c r="L60" s="8"/>
      <c r="M60" s="7"/>
      <c r="N60" s="8"/>
      <c r="O60" s="9">
        <f>IF(COUNTA(I60:N60)=0,"",SUM(J60,L60,N60))</f>
        <v/>
      </c>
      <c r="P60" s="7"/>
      <c r="Q60" s="7"/>
      <c r="R60" s="7"/>
      <c r="S60" s="7"/>
      <c r="T60" s="8"/>
      <c r="U60" s="7"/>
      <c r="V60" s="8"/>
      <c r="W60" s="7"/>
      <c r="X60" s="7"/>
      <c r="Y60" s="7"/>
      <c r="Z60" s="7"/>
      <c r="AA60" s="7"/>
      <c r="AB60" s="7"/>
      <c r="AC60" s="7"/>
      <c r="AD60" s="7"/>
      <c r="AE60" s="7"/>
      <c r="AF60" s="8"/>
      <c r="AG60" s="7"/>
      <c r="AH60" s="8"/>
      <c r="AI60" s="8"/>
      <c r="AJ60" s="8"/>
      <c r="AK60" s="8"/>
      <c r="AL60" s="8"/>
      <c r="AM60" s="8"/>
      <c r="AN60" s="7"/>
      <c r="AO60" s="7"/>
      <c r="AP60" s="7"/>
    </row>
    <row r="61" spans="1:42" ht="32" customHeight="1">
      <c r="A61" s="7"/>
      <c r="B61" s="7"/>
      <c r="C61" s="7"/>
      <c r="D61" s="7"/>
      <c r="E61" s="7"/>
      <c r="F61" s="7"/>
      <c r="G61" s="7"/>
      <c r="H61" s="7"/>
      <c r="I61" s="7"/>
      <c r="J61" s="8"/>
      <c r="K61" s="7"/>
      <c r="L61" s="8"/>
      <c r="M61" s="7"/>
      <c r="N61" s="8"/>
      <c r="O61" s="9">
        <f>IF(COUNTA(I61:N61)=0,"",SUM(J61,L61,N61))</f>
        <v/>
      </c>
      <c r="P61" s="7"/>
      <c r="Q61" s="7"/>
      <c r="R61" s="7"/>
      <c r="S61" s="7"/>
      <c r="T61" s="8"/>
      <c r="U61" s="7"/>
      <c r="V61" s="8"/>
      <c r="W61" s="7"/>
      <c r="X61" s="7"/>
      <c r="Y61" s="7"/>
      <c r="Z61" s="7"/>
      <c r="AA61" s="7"/>
      <c r="AB61" s="7"/>
      <c r="AC61" s="7"/>
      <c r="AD61" s="7"/>
      <c r="AE61" s="7"/>
      <c r="AF61" s="8"/>
      <c r="AG61" s="7"/>
      <c r="AH61" s="8"/>
      <c r="AI61" s="8"/>
      <c r="AJ61" s="8"/>
      <c r="AK61" s="8"/>
      <c r="AL61" s="8"/>
      <c r="AM61" s="8"/>
      <c r="AN61" s="7"/>
      <c r="AO61" s="7"/>
      <c r="AP61" s="7"/>
    </row>
    <row r="62" spans="1:42" ht="32" customHeight="1">
      <c r="A62" s="7"/>
      <c r="B62" s="7"/>
      <c r="C62" s="7"/>
      <c r="D62" s="7"/>
      <c r="E62" s="7"/>
      <c r="F62" s="7"/>
      <c r="G62" s="7"/>
      <c r="H62" s="7"/>
      <c r="I62" s="7"/>
      <c r="J62" s="8"/>
      <c r="K62" s="7"/>
      <c r="L62" s="8"/>
      <c r="M62" s="7"/>
      <c r="N62" s="8"/>
      <c r="O62" s="9">
        <f>IF(COUNTA(I62:N62)=0,"",SUM(J62,L62,N62))</f>
        <v/>
      </c>
      <c r="P62" s="7"/>
      <c r="Q62" s="7"/>
      <c r="R62" s="7"/>
      <c r="S62" s="7"/>
      <c r="T62" s="8"/>
      <c r="U62" s="7"/>
      <c r="V62" s="8"/>
      <c r="W62" s="7"/>
      <c r="X62" s="7"/>
      <c r="Y62" s="7"/>
      <c r="Z62" s="7"/>
      <c r="AA62" s="7"/>
      <c r="AB62" s="7"/>
      <c r="AC62" s="7"/>
      <c r="AD62" s="7"/>
      <c r="AE62" s="7"/>
      <c r="AF62" s="8"/>
      <c r="AG62" s="7"/>
      <c r="AH62" s="8"/>
      <c r="AI62" s="8"/>
      <c r="AJ62" s="8"/>
      <c r="AK62" s="8"/>
      <c r="AL62" s="8"/>
      <c r="AM62" s="8"/>
      <c r="AN62" s="7"/>
      <c r="AO62" s="7"/>
      <c r="AP62" s="7"/>
    </row>
    <row r="63" spans="1:42" ht="32" customHeight="1">
      <c r="A63" s="7"/>
      <c r="B63" s="7"/>
      <c r="C63" s="7"/>
      <c r="D63" s="7"/>
      <c r="E63" s="7"/>
      <c r="F63" s="7"/>
      <c r="G63" s="7"/>
      <c r="H63" s="7"/>
      <c r="I63" s="7"/>
      <c r="J63" s="8"/>
      <c r="K63" s="7"/>
      <c r="L63" s="8"/>
      <c r="M63" s="7"/>
      <c r="N63" s="8"/>
      <c r="O63" s="9">
        <f>IF(COUNTA(I63:N63)=0,"",SUM(J63,L63,N63))</f>
        <v/>
      </c>
      <c r="P63" s="7"/>
      <c r="Q63" s="7"/>
      <c r="R63" s="7"/>
      <c r="S63" s="7"/>
      <c r="T63" s="8"/>
      <c r="U63" s="7"/>
      <c r="V63" s="8"/>
      <c r="W63" s="7"/>
      <c r="X63" s="7"/>
      <c r="Y63" s="7"/>
      <c r="Z63" s="7"/>
      <c r="AA63" s="7"/>
      <c r="AB63" s="7"/>
      <c r="AC63" s="7"/>
      <c r="AD63" s="7"/>
      <c r="AE63" s="7"/>
      <c r="AF63" s="8"/>
      <c r="AG63" s="7"/>
      <c r="AH63" s="8"/>
      <c r="AI63" s="8"/>
      <c r="AJ63" s="8"/>
      <c r="AK63" s="8"/>
      <c r="AL63" s="8"/>
      <c r="AM63" s="8"/>
      <c r="AN63" s="7"/>
      <c r="AO63" s="7"/>
      <c r="AP63" s="7"/>
    </row>
    <row r="64" spans="1:42" ht="32" customHeight="1">
      <c r="A64" s="7"/>
      <c r="B64" s="7"/>
      <c r="C64" s="7"/>
      <c r="D64" s="7"/>
      <c r="E64" s="7"/>
      <c r="F64" s="7"/>
      <c r="G64" s="7"/>
      <c r="H64" s="7"/>
      <c r="I64" s="7"/>
      <c r="J64" s="8"/>
      <c r="K64" s="7"/>
      <c r="L64" s="8"/>
      <c r="M64" s="7"/>
      <c r="N64" s="8"/>
      <c r="O64" s="9">
        <f>IF(COUNTA(I64:N64)=0,"",SUM(J64,L64,N64))</f>
        <v/>
      </c>
      <c r="P64" s="7"/>
      <c r="Q64" s="7"/>
      <c r="R64" s="7"/>
      <c r="S64" s="7"/>
      <c r="T64" s="8"/>
      <c r="U64" s="7"/>
      <c r="V64" s="8"/>
      <c r="W64" s="7"/>
      <c r="X64" s="7"/>
      <c r="Y64" s="7"/>
      <c r="Z64" s="7"/>
      <c r="AA64" s="7"/>
      <c r="AB64" s="7"/>
      <c r="AC64" s="7"/>
      <c r="AD64" s="7"/>
      <c r="AE64" s="7"/>
      <c r="AF64" s="8"/>
      <c r="AG64" s="7"/>
      <c r="AH64" s="8"/>
      <c r="AI64" s="8"/>
      <c r="AJ64" s="8"/>
      <c r="AK64" s="8"/>
      <c r="AL64" s="8"/>
      <c r="AM64" s="8"/>
      <c r="AN64" s="7"/>
      <c r="AO64" s="7"/>
      <c r="AP64" s="7"/>
    </row>
    <row r="65" spans="1:42" ht="32" customHeight="1">
      <c r="A65" s="7"/>
      <c r="B65" s="7"/>
      <c r="C65" s="7"/>
      <c r="D65" s="7"/>
      <c r="E65" s="7"/>
      <c r="F65" s="7"/>
      <c r="G65" s="7"/>
      <c r="H65" s="7"/>
      <c r="I65" s="7"/>
      <c r="J65" s="8"/>
      <c r="K65" s="7"/>
      <c r="L65" s="8"/>
      <c r="M65" s="7"/>
      <c r="N65" s="8"/>
      <c r="O65" s="9">
        <f>IF(COUNTA(I65:N65)=0,"",SUM(J65,L65,N65))</f>
        <v/>
      </c>
      <c r="P65" s="7"/>
      <c r="Q65" s="7"/>
      <c r="R65" s="7"/>
      <c r="S65" s="7"/>
      <c r="T65" s="8"/>
      <c r="U65" s="7"/>
      <c r="V65" s="8"/>
      <c r="W65" s="7"/>
      <c r="X65" s="7"/>
      <c r="Y65" s="7"/>
      <c r="Z65" s="7"/>
      <c r="AA65" s="7"/>
      <c r="AB65" s="7"/>
      <c r="AC65" s="7"/>
      <c r="AD65" s="7"/>
      <c r="AE65" s="7"/>
      <c r="AF65" s="8"/>
      <c r="AG65" s="7"/>
      <c r="AH65" s="8"/>
      <c r="AI65" s="8"/>
      <c r="AJ65" s="8"/>
      <c r="AK65" s="8"/>
      <c r="AL65" s="8"/>
      <c r="AM65" s="8"/>
      <c r="AN65" s="7"/>
      <c r="AO65" s="7"/>
      <c r="AP65" s="7"/>
    </row>
    <row r="66" spans="1:42" ht="32" customHeight="1">
      <c r="A66" s="7"/>
      <c r="B66" s="7"/>
      <c r="C66" s="7"/>
      <c r="D66" s="7"/>
      <c r="E66" s="7"/>
      <c r="F66" s="7"/>
      <c r="G66" s="7"/>
      <c r="H66" s="7"/>
      <c r="I66" s="7"/>
      <c r="J66" s="8"/>
      <c r="K66" s="7"/>
      <c r="L66" s="8"/>
      <c r="M66" s="7"/>
      <c r="N66" s="8"/>
      <c r="O66" s="9">
        <f>IF(COUNTA(I66:N66)=0,"",SUM(J66,L66,N66))</f>
        <v/>
      </c>
      <c r="P66" s="7"/>
      <c r="Q66" s="7"/>
      <c r="R66" s="7"/>
      <c r="S66" s="7"/>
      <c r="T66" s="8"/>
      <c r="U66" s="7"/>
      <c r="V66" s="8"/>
      <c r="W66" s="7"/>
      <c r="X66" s="7"/>
      <c r="Y66" s="7"/>
      <c r="Z66" s="7"/>
      <c r="AA66" s="7"/>
      <c r="AB66" s="7"/>
      <c r="AC66" s="7"/>
      <c r="AD66" s="7"/>
      <c r="AE66" s="7"/>
      <c r="AF66" s="8"/>
      <c r="AG66" s="7"/>
      <c r="AH66" s="8"/>
      <c r="AI66" s="8"/>
      <c r="AJ66" s="8"/>
      <c r="AK66" s="8"/>
      <c r="AL66" s="8"/>
      <c r="AM66" s="8"/>
      <c r="AN66" s="7"/>
      <c r="AO66" s="7"/>
      <c r="AP66" s="7"/>
    </row>
    <row r="67" spans="1:42" ht="32" customHeight="1">
      <c r="A67" s="7"/>
      <c r="B67" s="7"/>
      <c r="C67" s="7"/>
      <c r="D67" s="7"/>
      <c r="E67" s="7"/>
      <c r="F67" s="7"/>
      <c r="G67" s="7"/>
      <c r="H67" s="7"/>
      <c r="I67" s="7"/>
      <c r="J67" s="8"/>
      <c r="K67" s="7"/>
      <c r="L67" s="8"/>
      <c r="M67" s="7"/>
      <c r="N67" s="8"/>
      <c r="O67" s="9">
        <f>IF(COUNTA(I67:N67)=0,"",SUM(J67,L67,N67))</f>
        <v/>
      </c>
      <c r="P67" s="7"/>
      <c r="Q67" s="7"/>
      <c r="R67" s="7"/>
      <c r="S67" s="7"/>
      <c r="T67" s="8"/>
      <c r="U67" s="7"/>
      <c r="V67" s="8"/>
      <c r="W67" s="7"/>
      <c r="X67" s="7"/>
      <c r="Y67" s="7"/>
      <c r="Z67" s="7"/>
      <c r="AA67" s="7"/>
      <c r="AB67" s="7"/>
      <c r="AC67" s="7"/>
      <c r="AD67" s="7"/>
      <c r="AE67" s="7"/>
      <c r="AF67" s="8"/>
      <c r="AG67" s="7"/>
      <c r="AH67" s="8"/>
      <c r="AI67" s="8"/>
      <c r="AJ67" s="8"/>
      <c r="AK67" s="8"/>
      <c r="AL67" s="8"/>
      <c r="AM67" s="8"/>
      <c r="AN67" s="7"/>
      <c r="AO67" s="7"/>
      <c r="AP67" s="7"/>
    </row>
    <row r="68" spans="1:42" ht="32" customHeight="1">
      <c r="A68" s="7"/>
      <c r="B68" s="7"/>
      <c r="C68" s="7"/>
      <c r="D68" s="7"/>
      <c r="E68" s="7"/>
      <c r="F68" s="7"/>
      <c r="G68" s="7"/>
      <c r="H68" s="7"/>
      <c r="I68" s="7"/>
      <c r="J68" s="8"/>
      <c r="K68" s="7"/>
      <c r="L68" s="8"/>
      <c r="M68" s="7"/>
      <c r="N68" s="8"/>
      <c r="O68" s="9">
        <f>IF(COUNTA(I68:N68)=0,"",SUM(J68,L68,N68))</f>
        <v/>
      </c>
      <c r="P68" s="7"/>
      <c r="Q68" s="7"/>
      <c r="R68" s="7"/>
      <c r="S68" s="7"/>
      <c r="T68" s="8"/>
      <c r="U68" s="7"/>
      <c r="V68" s="8"/>
      <c r="W68" s="7"/>
      <c r="X68" s="7"/>
      <c r="Y68" s="7"/>
      <c r="Z68" s="7"/>
      <c r="AA68" s="7"/>
      <c r="AB68" s="7"/>
      <c r="AC68" s="7"/>
      <c r="AD68" s="7"/>
      <c r="AE68" s="7"/>
      <c r="AF68" s="8"/>
      <c r="AG68" s="7"/>
      <c r="AH68" s="8"/>
      <c r="AI68" s="8"/>
      <c r="AJ68" s="8"/>
      <c r="AK68" s="8"/>
      <c r="AL68" s="8"/>
      <c r="AM68" s="8"/>
      <c r="AN68" s="7"/>
      <c r="AO68" s="7"/>
      <c r="AP68" s="7"/>
    </row>
    <row r="69" spans="1:42" ht="32" customHeight="1">
      <c r="A69" s="7"/>
      <c r="B69" s="7"/>
      <c r="C69" s="7"/>
      <c r="D69" s="7"/>
      <c r="E69" s="7"/>
      <c r="F69" s="7"/>
      <c r="G69" s="7"/>
      <c r="H69" s="7"/>
      <c r="I69" s="7"/>
      <c r="J69" s="8"/>
      <c r="K69" s="7"/>
      <c r="L69" s="8"/>
      <c r="M69" s="7"/>
      <c r="N69" s="8"/>
      <c r="O69" s="9">
        <f>IF(COUNTA(I69:N69)=0,"",SUM(J69,L69,N69))</f>
        <v/>
      </c>
      <c r="P69" s="7"/>
      <c r="Q69" s="7"/>
      <c r="R69" s="7"/>
      <c r="S69" s="7"/>
      <c r="T69" s="8"/>
      <c r="U69" s="7"/>
      <c r="V69" s="8"/>
      <c r="W69" s="7"/>
      <c r="X69" s="7"/>
      <c r="Y69" s="7"/>
      <c r="Z69" s="7"/>
      <c r="AA69" s="7"/>
      <c r="AB69" s="7"/>
      <c r="AC69" s="7"/>
      <c r="AD69" s="7"/>
      <c r="AE69" s="7"/>
      <c r="AF69" s="8"/>
      <c r="AG69" s="7"/>
      <c r="AH69" s="8"/>
      <c r="AI69" s="8"/>
      <c r="AJ69" s="8"/>
      <c r="AK69" s="8"/>
      <c r="AL69" s="8"/>
      <c r="AM69" s="8"/>
      <c r="AN69" s="7"/>
      <c r="AO69" s="7"/>
      <c r="AP69" s="7"/>
    </row>
    <row r="70" spans="1:42" ht="32" customHeight="1">
      <c r="A70" s="7"/>
      <c r="B70" s="7"/>
      <c r="C70" s="7"/>
      <c r="D70" s="7"/>
      <c r="E70" s="7"/>
      <c r="F70" s="7"/>
      <c r="G70" s="7"/>
      <c r="H70" s="7"/>
      <c r="I70" s="7"/>
      <c r="J70" s="8"/>
      <c r="K70" s="7"/>
      <c r="L70" s="8"/>
      <c r="M70" s="7"/>
      <c r="N70" s="8"/>
      <c r="O70" s="9">
        <f>IF(COUNTA(I70:N70)=0,"",SUM(J70,L70,N70))</f>
        <v/>
      </c>
      <c r="P70" s="7"/>
      <c r="Q70" s="7"/>
      <c r="R70" s="7"/>
      <c r="S70" s="7"/>
      <c r="T70" s="8"/>
      <c r="U70" s="7"/>
      <c r="V70" s="8"/>
      <c r="W70" s="7"/>
      <c r="X70" s="7"/>
      <c r="Y70" s="7"/>
      <c r="Z70" s="7"/>
      <c r="AA70" s="7"/>
      <c r="AB70" s="7"/>
      <c r="AC70" s="7"/>
      <c r="AD70" s="7"/>
      <c r="AE70" s="7"/>
      <c r="AF70" s="8"/>
      <c r="AG70" s="7"/>
      <c r="AH70" s="8"/>
      <c r="AI70" s="8"/>
      <c r="AJ70" s="8"/>
      <c r="AK70" s="8"/>
      <c r="AL70" s="8"/>
      <c r="AM70" s="8"/>
      <c r="AN70" s="7"/>
      <c r="AO70" s="7"/>
      <c r="AP70" s="7"/>
    </row>
    <row r="71" spans="1:42" ht="32" customHeight="1">
      <c r="A71" s="7"/>
      <c r="B71" s="7"/>
      <c r="C71" s="7"/>
      <c r="D71" s="7"/>
      <c r="E71" s="7"/>
      <c r="F71" s="7"/>
      <c r="G71" s="7"/>
      <c r="H71" s="7"/>
      <c r="I71" s="7"/>
      <c r="J71" s="8"/>
      <c r="K71" s="7"/>
      <c r="L71" s="8"/>
      <c r="M71" s="7"/>
      <c r="N71" s="8"/>
      <c r="O71" s="9">
        <f>IF(COUNTA(I71:N71)=0,"",SUM(J71,L71,N71))</f>
        <v/>
      </c>
      <c r="P71" s="7"/>
      <c r="Q71" s="7"/>
      <c r="R71" s="7"/>
      <c r="S71" s="7"/>
      <c r="T71" s="8"/>
      <c r="U71" s="7"/>
      <c r="V71" s="8"/>
      <c r="W71" s="7"/>
      <c r="X71" s="7"/>
      <c r="Y71" s="7"/>
      <c r="Z71" s="7"/>
      <c r="AA71" s="7"/>
      <c r="AB71" s="7"/>
      <c r="AC71" s="7"/>
      <c r="AD71" s="7"/>
      <c r="AE71" s="7"/>
      <c r="AF71" s="8"/>
      <c r="AG71" s="7"/>
      <c r="AH71" s="8"/>
      <c r="AI71" s="8"/>
      <c r="AJ71" s="8"/>
      <c r="AK71" s="8"/>
      <c r="AL71" s="8"/>
      <c r="AM71" s="8"/>
      <c r="AN71" s="7"/>
      <c r="AO71" s="7"/>
      <c r="AP71" s="7"/>
    </row>
    <row r="72" spans="1:42" ht="32" customHeight="1">
      <c r="A72" s="7"/>
      <c r="B72" s="7"/>
      <c r="C72" s="7"/>
      <c r="D72" s="7"/>
      <c r="E72" s="7"/>
      <c r="F72" s="7"/>
      <c r="G72" s="7"/>
      <c r="H72" s="7"/>
      <c r="I72" s="7"/>
      <c r="J72" s="8"/>
      <c r="K72" s="7"/>
      <c r="L72" s="8"/>
      <c r="M72" s="7"/>
      <c r="N72" s="8"/>
      <c r="O72" s="9">
        <f>IF(COUNTA(I72:N72)=0,"",SUM(J72,L72,N72))</f>
        <v/>
      </c>
      <c r="P72" s="7"/>
      <c r="Q72" s="7"/>
      <c r="R72" s="7"/>
      <c r="S72" s="7"/>
      <c r="T72" s="8"/>
      <c r="U72" s="7"/>
      <c r="V72" s="8"/>
      <c r="W72" s="7"/>
      <c r="X72" s="7"/>
      <c r="Y72" s="7"/>
      <c r="Z72" s="7"/>
      <c r="AA72" s="7"/>
      <c r="AB72" s="7"/>
      <c r="AC72" s="7"/>
      <c r="AD72" s="7"/>
      <c r="AE72" s="7"/>
      <c r="AF72" s="8"/>
      <c r="AG72" s="7"/>
      <c r="AH72" s="8"/>
      <c r="AI72" s="8"/>
      <c r="AJ72" s="8"/>
      <c r="AK72" s="8"/>
      <c r="AL72" s="8"/>
      <c r="AM72" s="8"/>
      <c r="AN72" s="7"/>
      <c r="AO72" s="7"/>
      <c r="AP72" s="7"/>
    </row>
    <row r="73" spans="1:42" ht="32" customHeight="1">
      <c r="A73" s="7"/>
      <c r="B73" s="7"/>
      <c r="C73" s="7"/>
      <c r="D73" s="7"/>
      <c r="E73" s="7"/>
      <c r="F73" s="7"/>
      <c r="G73" s="7"/>
      <c r="H73" s="7"/>
      <c r="I73" s="7"/>
      <c r="J73" s="8"/>
      <c r="K73" s="7"/>
      <c r="L73" s="8"/>
      <c r="M73" s="7"/>
      <c r="N73" s="8"/>
      <c r="O73" s="9">
        <f>IF(COUNTA(I73:N73)=0,"",SUM(J73,L73,N73))</f>
        <v/>
      </c>
      <c r="P73" s="7"/>
      <c r="Q73" s="7"/>
      <c r="R73" s="7"/>
      <c r="S73" s="7"/>
      <c r="T73" s="8"/>
      <c r="U73" s="7"/>
      <c r="V73" s="8"/>
      <c r="W73" s="7"/>
      <c r="X73" s="7"/>
      <c r="Y73" s="7"/>
      <c r="Z73" s="7"/>
      <c r="AA73" s="7"/>
      <c r="AB73" s="7"/>
      <c r="AC73" s="7"/>
      <c r="AD73" s="7"/>
      <c r="AE73" s="7"/>
      <c r="AF73" s="8"/>
      <c r="AG73" s="7"/>
      <c r="AH73" s="8"/>
      <c r="AI73" s="8"/>
      <c r="AJ73" s="8"/>
      <c r="AK73" s="8"/>
      <c r="AL73" s="8"/>
      <c r="AM73" s="8"/>
      <c r="AN73" s="7"/>
      <c r="AO73" s="7"/>
      <c r="AP73" s="7"/>
    </row>
    <row r="74" spans="1:42" ht="32" customHeight="1">
      <c r="A74" s="7"/>
      <c r="B74" s="7"/>
      <c r="C74" s="7"/>
      <c r="D74" s="7"/>
      <c r="E74" s="7"/>
      <c r="F74" s="7"/>
      <c r="G74" s="7"/>
      <c r="H74" s="7"/>
      <c r="I74" s="7"/>
      <c r="J74" s="8"/>
      <c r="K74" s="7"/>
      <c r="L74" s="8"/>
      <c r="M74" s="7"/>
      <c r="N74" s="8"/>
      <c r="O74" s="9">
        <f>IF(COUNTA(I74:N74)=0,"",SUM(J74,L74,N74))</f>
        <v/>
      </c>
      <c r="P74" s="7"/>
      <c r="Q74" s="7"/>
      <c r="R74" s="7"/>
      <c r="S74" s="7"/>
      <c r="T74" s="8"/>
      <c r="U74" s="7"/>
      <c r="V74" s="8"/>
      <c r="W74" s="7"/>
      <c r="X74" s="7"/>
      <c r="Y74" s="7"/>
      <c r="Z74" s="7"/>
      <c r="AA74" s="7"/>
      <c r="AB74" s="7"/>
      <c r="AC74" s="7"/>
      <c r="AD74" s="7"/>
      <c r="AE74" s="7"/>
      <c r="AF74" s="8"/>
      <c r="AG74" s="7"/>
      <c r="AH74" s="8"/>
      <c r="AI74" s="8"/>
      <c r="AJ74" s="8"/>
      <c r="AK74" s="8"/>
      <c r="AL74" s="8"/>
      <c r="AM74" s="8"/>
      <c r="AN74" s="7"/>
      <c r="AO74" s="7"/>
      <c r="AP74" s="7"/>
    </row>
    <row r="75" spans="1:42" ht="32" customHeight="1">
      <c r="A75" s="7"/>
      <c r="B75" s="7"/>
      <c r="C75" s="7"/>
      <c r="D75" s="7"/>
      <c r="E75" s="7"/>
      <c r="F75" s="7"/>
      <c r="G75" s="7"/>
      <c r="H75" s="7"/>
      <c r="I75" s="7"/>
      <c r="J75" s="8"/>
      <c r="K75" s="7"/>
      <c r="L75" s="8"/>
      <c r="M75" s="7"/>
      <c r="N75" s="8"/>
      <c r="O75" s="9">
        <f>IF(COUNTA(I75:N75)=0,"",SUM(J75,L75,N75))</f>
        <v/>
      </c>
      <c r="P75" s="7"/>
      <c r="Q75" s="7"/>
      <c r="R75" s="7"/>
      <c r="S75" s="7"/>
      <c r="T75" s="8"/>
      <c r="U75" s="7"/>
      <c r="V75" s="8"/>
      <c r="W75" s="7"/>
      <c r="X75" s="7"/>
      <c r="Y75" s="7"/>
      <c r="Z75" s="7"/>
      <c r="AA75" s="7"/>
      <c r="AB75" s="7"/>
      <c r="AC75" s="7"/>
      <c r="AD75" s="7"/>
      <c r="AE75" s="7"/>
      <c r="AF75" s="8"/>
      <c r="AG75" s="7"/>
      <c r="AH75" s="8"/>
      <c r="AI75" s="8"/>
      <c r="AJ75" s="8"/>
      <c r="AK75" s="8"/>
      <c r="AL75" s="8"/>
      <c r="AM75" s="8"/>
      <c r="AN75" s="7"/>
      <c r="AO75" s="7"/>
      <c r="AP75" s="7"/>
    </row>
    <row r="76" spans="1:42" ht="32" customHeight="1">
      <c r="A76" s="7"/>
      <c r="B76" s="7"/>
      <c r="C76" s="7"/>
      <c r="D76" s="7"/>
      <c r="E76" s="7"/>
      <c r="F76" s="7"/>
      <c r="G76" s="7"/>
      <c r="H76" s="7"/>
      <c r="I76" s="7"/>
      <c r="J76" s="8"/>
      <c r="K76" s="7"/>
      <c r="L76" s="8"/>
      <c r="M76" s="7"/>
      <c r="N76" s="8"/>
      <c r="O76" s="9">
        <f>IF(COUNTA(I76:N76)=0,"",SUM(J76,L76,N76))</f>
        <v/>
      </c>
      <c r="P76" s="7"/>
      <c r="Q76" s="7"/>
      <c r="R76" s="7"/>
      <c r="S76" s="7"/>
      <c r="T76" s="8"/>
      <c r="U76" s="7"/>
      <c r="V76" s="8"/>
      <c r="W76" s="7"/>
      <c r="X76" s="7"/>
      <c r="Y76" s="7"/>
      <c r="Z76" s="7"/>
      <c r="AA76" s="7"/>
      <c r="AB76" s="7"/>
      <c r="AC76" s="7"/>
      <c r="AD76" s="7"/>
      <c r="AE76" s="7"/>
      <c r="AF76" s="8"/>
      <c r="AG76" s="7"/>
      <c r="AH76" s="8"/>
      <c r="AI76" s="8"/>
      <c r="AJ76" s="8"/>
      <c r="AK76" s="8"/>
      <c r="AL76" s="8"/>
      <c r="AM76" s="8"/>
      <c r="AN76" s="7"/>
      <c r="AO76" s="7"/>
      <c r="AP76" s="7"/>
    </row>
    <row r="77" spans="1:42" ht="32" customHeight="1">
      <c r="A77" s="7"/>
      <c r="B77" s="7"/>
      <c r="C77" s="7"/>
      <c r="D77" s="7"/>
      <c r="E77" s="7"/>
      <c r="F77" s="7"/>
      <c r="G77" s="7"/>
      <c r="H77" s="7"/>
      <c r="I77" s="7"/>
      <c r="J77" s="8"/>
      <c r="K77" s="7"/>
      <c r="L77" s="8"/>
      <c r="M77" s="7"/>
      <c r="N77" s="8"/>
      <c r="O77" s="9">
        <f>IF(COUNTA(I77:N77)=0,"",SUM(J77,L77,N77))</f>
        <v/>
      </c>
      <c r="P77" s="7"/>
      <c r="Q77" s="7"/>
      <c r="R77" s="7"/>
      <c r="S77" s="7"/>
      <c r="T77" s="8"/>
      <c r="U77" s="7"/>
      <c r="V77" s="8"/>
      <c r="W77" s="7"/>
      <c r="X77" s="7"/>
      <c r="Y77" s="7"/>
      <c r="Z77" s="7"/>
      <c r="AA77" s="7"/>
      <c r="AB77" s="7"/>
      <c r="AC77" s="7"/>
      <c r="AD77" s="7"/>
      <c r="AE77" s="7"/>
      <c r="AF77" s="8"/>
      <c r="AG77" s="7"/>
      <c r="AH77" s="8"/>
      <c r="AI77" s="8"/>
      <c r="AJ77" s="8"/>
      <c r="AK77" s="8"/>
      <c r="AL77" s="8"/>
      <c r="AM77" s="8"/>
      <c r="AN77" s="7"/>
      <c r="AO77" s="7"/>
      <c r="AP77" s="7"/>
    </row>
    <row r="78" spans="1:42" ht="32" customHeight="1">
      <c r="A78" s="7"/>
      <c r="B78" s="7"/>
      <c r="C78" s="7"/>
      <c r="D78" s="7"/>
      <c r="E78" s="7"/>
      <c r="F78" s="7"/>
      <c r="G78" s="7"/>
      <c r="H78" s="7"/>
      <c r="I78" s="7"/>
      <c r="J78" s="8"/>
      <c r="K78" s="7"/>
      <c r="L78" s="8"/>
      <c r="M78" s="7"/>
      <c r="N78" s="8"/>
      <c r="O78" s="9">
        <f>IF(COUNTA(I78:N78)=0,"",SUM(J78,L78,N78))</f>
        <v/>
      </c>
      <c r="P78" s="7"/>
      <c r="Q78" s="7"/>
      <c r="R78" s="7"/>
      <c r="S78" s="7"/>
      <c r="T78" s="8"/>
      <c r="U78" s="7"/>
      <c r="V78" s="8"/>
      <c r="W78" s="7"/>
      <c r="X78" s="7"/>
      <c r="Y78" s="7"/>
      <c r="Z78" s="7"/>
      <c r="AA78" s="7"/>
      <c r="AB78" s="7"/>
      <c r="AC78" s="7"/>
      <c r="AD78" s="7"/>
      <c r="AE78" s="7"/>
      <c r="AF78" s="8"/>
      <c r="AG78" s="7"/>
      <c r="AH78" s="8"/>
      <c r="AI78" s="8"/>
      <c r="AJ78" s="8"/>
      <c r="AK78" s="8"/>
      <c r="AL78" s="8"/>
      <c r="AM78" s="8"/>
      <c r="AN78" s="7"/>
      <c r="AO78" s="7"/>
      <c r="AP78" s="7"/>
    </row>
    <row r="79" spans="1:42" ht="32" customHeight="1">
      <c r="A79" s="7"/>
      <c r="B79" s="7"/>
      <c r="C79" s="7"/>
      <c r="D79" s="7"/>
      <c r="E79" s="7"/>
      <c r="F79" s="7"/>
      <c r="G79" s="7"/>
      <c r="H79" s="7"/>
      <c r="I79" s="7"/>
      <c r="J79" s="8"/>
      <c r="K79" s="7"/>
      <c r="L79" s="8"/>
      <c r="M79" s="7"/>
      <c r="N79" s="8"/>
      <c r="O79" s="9">
        <f>IF(COUNTA(I79:N79)=0,"",SUM(J79,L79,N79))</f>
        <v/>
      </c>
      <c r="P79" s="7"/>
      <c r="Q79" s="7"/>
      <c r="R79" s="7"/>
      <c r="S79" s="7"/>
      <c r="T79" s="8"/>
      <c r="U79" s="7"/>
      <c r="V79" s="8"/>
      <c r="W79" s="7"/>
      <c r="X79" s="7"/>
      <c r="Y79" s="7"/>
      <c r="Z79" s="7"/>
      <c r="AA79" s="7"/>
      <c r="AB79" s="7"/>
      <c r="AC79" s="7"/>
      <c r="AD79" s="7"/>
      <c r="AE79" s="7"/>
      <c r="AF79" s="8"/>
      <c r="AG79" s="7"/>
      <c r="AH79" s="8"/>
      <c r="AI79" s="8"/>
      <c r="AJ79" s="8"/>
      <c r="AK79" s="8"/>
      <c r="AL79" s="8"/>
      <c r="AM79" s="8"/>
      <c r="AN79" s="7"/>
      <c r="AO79" s="7"/>
      <c r="AP79" s="7"/>
    </row>
    <row r="80" spans="1:42" ht="32" customHeight="1">
      <c r="A80" s="7"/>
      <c r="B80" s="7"/>
      <c r="C80" s="7"/>
      <c r="D80" s="7"/>
      <c r="E80" s="7"/>
      <c r="F80" s="7"/>
      <c r="G80" s="7"/>
      <c r="H80" s="7"/>
      <c r="I80" s="7"/>
      <c r="J80" s="8"/>
      <c r="K80" s="7"/>
      <c r="L80" s="8"/>
      <c r="M80" s="7"/>
      <c r="N80" s="8"/>
      <c r="O80" s="9">
        <f>IF(COUNTA(I80:N80)=0,"",SUM(J80,L80,N80))</f>
        <v/>
      </c>
      <c r="P80" s="7"/>
      <c r="Q80" s="7"/>
      <c r="R80" s="7"/>
      <c r="S80" s="7"/>
      <c r="T80" s="8"/>
      <c r="U80" s="7"/>
      <c r="V80" s="8"/>
      <c r="W80" s="7"/>
      <c r="X80" s="7"/>
      <c r="Y80" s="7"/>
      <c r="Z80" s="7"/>
      <c r="AA80" s="7"/>
      <c r="AB80" s="7"/>
      <c r="AC80" s="7"/>
      <c r="AD80" s="7"/>
      <c r="AE80" s="7"/>
      <c r="AF80" s="8"/>
      <c r="AG80" s="7"/>
      <c r="AH80" s="8"/>
      <c r="AI80" s="8"/>
      <c r="AJ80" s="8"/>
      <c r="AK80" s="8"/>
      <c r="AL80" s="8"/>
      <c r="AM80" s="8"/>
      <c r="AN80" s="7"/>
      <c r="AO80" s="7"/>
      <c r="AP80" s="7"/>
    </row>
    <row r="81" spans="1:42" ht="32" customHeight="1">
      <c r="A81" s="7"/>
      <c r="B81" s="7"/>
      <c r="C81" s="7"/>
      <c r="D81" s="7"/>
      <c r="E81" s="7"/>
      <c r="F81" s="7"/>
      <c r="G81" s="7"/>
      <c r="H81" s="7"/>
      <c r="I81" s="7"/>
      <c r="J81" s="8"/>
      <c r="K81" s="7"/>
      <c r="L81" s="8"/>
      <c r="M81" s="7"/>
      <c r="N81" s="8"/>
      <c r="O81" s="9">
        <f>IF(COUNTA(I81:N81)=0,"",SUM(J81,L81,N81))</f>
        <v/>
      </c>
      <c r="P81" s="7"/>
      <c r="Q81" s="7"/>
      <c r="R81" s="7"/>
      <c r="S81" s="7"/>
      <c r="T81" s="8"/>
      <c r="U81" s="7"/>
      <c r="V81" s="8"/>
      <c r="W81" s="7"/>
      <c r="X81" s="7"/>
      <c r="Y81" s="7"/>
      <c r="Z81" s="7"/>
      <c r="AA81" s="7"/>
      <c r="AB81" s="7"/>
      <c r="AC81" s="7"/>
      <c r="AD81" s="7"/>
      <c r="AE81" s="7"/>
      <c r="AF81" s="8"/>
      <c r="AG81" s="7"/>
      <c r="AH81" s="8"/>
      <c r="AI81" s="8"/>
      <c r="AJ81" s="8"/>
      <c r="AK81" s="8"/>
      <c r="AL81" s="8"/>
      <c r="AM81" s="8"/>
      <c r="AN81" s="7"/>
      <c r="AO81" s="7"/>
      <c r="AP81" s="7"/>
    </row>
    <row r="82" spans="1:42" ht="32" customHeight="1">
      <c r="A82" s="7"/>
      <c r="B82" s="7"/>
      <c r="C82" s="7"/>
      <c r="D82" s="7"/>
      <c r="E82" s="7"/>
      <c r="F82" s="7"/>
      <c r="G82" s="7"/>
      <c r="H82" s="7"/>
      <c r="I82" s="7"/>
      <c r="J82" s="8"/>
      <c r="K82" s="7"/>
      <c r="L82" s="8"/>
      <c r="M82" s="7"/>
      <c r="N82" s="8"/>
      <c r="O82" s="9">
        <f>IF(COUNTA(I82:N82)=0,"",SUM(J82,L82,N82))</f>
        <v/>
      </c>
      <c r="P82" s="7"/>
      <c r="Q82" s="7"/>
      <c r="R82" s="7"/>
      <c r="S82" s="7"/>
      <c r="T82" s="8"/>
      <c r="U82" s="7"/>
      <c r="V82" s="8"/>
      <c r="W82" s="7"/>
      <c r="X82" s="7"/>
      <c r="Y82" s="7"/>
      <c r="Z82" s="7"/>
      <c r="AA82" s="7"/>
      <c r="AB82" s="7"/>
      <c r="AC82" s="7"/>
      <c r="AD82" s="7"/>
      <c r="AE82" s="7"/>
      <c r="AF82" s="8"/>
      <c r="AG82" s="7"/>
      <c r="AH82" s="8"/>
      <c r="AI82" s="8"/>
      <c r="AJ82" s="8"/>
      <c r="AK82" s="8"/>
      <c r="AL82" s="8"/>
      <c r="AM82" s="8"/>
      <c r="AN82" s="7"/>
      <c r="AO82" s="7"/>
      <c r="AP82" s="7"/>
    </row>
    <row r="83" spans="1:42" ht="32" customHeight="1">
      <c r="A83" s="7"/>
      <c r="B83" s="7"/>
      <c r="C83" s="7"/>
      <c r="D83" s="7"/>
      <c r="E83" s="7"/>
      <c r="F83" s="7"/>
      <c r="G83" s="7"/>
      <c r="H83" s="7"/>
      <c r="I83" s="7"/>
      <c r="J83" s="8"/>
      <c r="K83" s="7"/>
      <c r="L83" s="8"/>
      <c r="M83" s="7"/>
      <c r="N83" s="8"/>
      <c r="O83" s="9">
        <f>IF(COUNTA(I83:N83)=0,"",SUM(J83,L83,N83))</f>
        <v/>
      </c>
      <c r="P83" s="7"/>
      <c r="Q83" s="7"/>
      <c r="R83" s="7"/>
      <c r="S83" s="7"/>
      <c r="T83" s="8"/>
      <c r="U83" s="7"/>
      <c r="V83" s="8"/>
      <c r="W83" s="7"/>
      <c r="X83" s="7"/>
      <c r="Y83" s="7"/>
      <c r="Z83" s="7"/>
      <c r="AA83" s="7"/>
      <c r="AB83" s="7"/>
      <c r="AC83" s="7"/>
      <c r="AD83" s="7"/>
      <c r="AE83" s="7"/>
      <c r="AF83" s="8"/>
      <c r="AG83" s="7"/>
      <c r="AH83" s="8"/>
      <c r="AI83" s="8"/>
      <c r="AJ83" s="8"/>
      <c r="AK83" s="8"/>
      <c r="AL83" s="8"/>
      <c r="AM83" s="8"/>
      <c r="AN83" s="7"/>
      <c r="AO83" s="7"/>
      <c r="AP83" s="7"/>
    </row>
    <row r="84" spans="1:42" ht="32" customHeight="1">
      <c r="A84" s="7"/>
      <c r="B84" s="7"/>
      <c r="C84" s="7"/>
      <c r="D84" s="7"/>
      <c r="E84" s="7"/>
      <c r="F84" s="7"/>
      <c r="G84" s="7"/>
      <c r="H84" s="7"/>
      <c r="I84" s="7"/>
      <c r="J84" s="8"/>
      <c r="K84" s="7"/>
      <c r="L84" s="8"/>
      <c r="M84" s="7"/>
      <c r="N84" s="8"/>
      <c r="O84" s="9">
        <f>IF(COUNTA(I84:N84)=0,"",SUM(J84,L84,N84))</f>
        <v/>
      </c>
      <c r="P84" s="7"/>
      <c r="Q84" s="7"/>
      <c r="R84" s="7"/>
      <c r="S84" s="7"/>
      <c r="T84" s="8"/>
      <c r="U84" s="7"/>
      <c r="V84" s="8"/>
      <c r="W84" s="7"/>
      <c r="X84" s="7"/>
      <c r="Y84" s="7"/>
      <c r="Z84" s="7"/>
      <c r="AA84" s="7"/>
      <c r="AB84" s="7"/>
      <c r="AC84" s="7"/>
      <c r="AD84" s="7"/>
      <c r="AE84" s="7"/>
      <c r="AF84" s="8"/>
      <c r="AG84" s="7"/>
      <c r="AH84" s="8"/>
      <c r="AI84" s="8"/>
      <c r="AJ84" s="8"/>
      <c r="AK84" s="8"/>
      <c r="AL84" s="8"/>
      <c r="AM84" s="8"/>
      <c r="AN84" s="7"/>
      <c r="AO84" s="7"/>
      <c r="AP84" s="7"/>
    </row>
    <row r="85" spans="1:42" ht="32" customHeight="1">
      <c r="A85" s="7"/>
      <c r="B85" s="7"/>
      <c r="C85" s="7"/>
      <c r="D85" s="7"/>
      <c r="E85" s="7"/>
      <c r="F85" s="7"/>
      <c r="G85" s="7"/>
      <c r="H85" s="7"/>
      <c r="I85" s="7"/>
      <c r="J85" s="8"/>
      <c r="K85" s="7"/>
      <c r="L85" s="8"/>
      <c r="M85" s="7"/>
      <c r="N85" s="8"/>
      <c r="O85" s="9">
        <f>IF(COUNTA(I85:N85)=0,"",SUM(J85,L85,N85))</f>
        <v/>
      </c>
      <c r="P85" s="7"/>
      <c r="Q85" s="7"/>
      <c r="R85" s="7"/>
      <c r="S85" s="7"/>
      <c r="T85" s="8"/>
      <c r="U85" s="7"/>
      <c r="V85" s="8"/>
      <c r="W85" s="7"/>
      <c r="X85" s="7"/>
      <c r="Y85" s="7"/>
      <c r="Z85" s="7"/>
      <c r="AA85" s="7"/>
      <c r="AB85" s="7"/>
      <c r="AC85" s="7"/>
      <c r="AD85" s="7"/>
      <c r="AE85" s="7"/>
      <c r="AF85" s="8"/>
      <c r="AG85" s="7"/>
      <c r="AH85" s="8"/>
      <c r="AI85" s="8"/>
      <c r="AJ85" s="8"/>
      <c r="AK85" s="8"/>
      <c r="AL85" s="8"/>
      <c r="AM85" s="8"/>
      <c r="AN85" s="7"/>
      <c r="AO85" s="7"/>
      <c r="AP85" s="7"/>
    </row>
    <row r="86" spans="1:42" ht="32" customHeight="1">
      <c r="A86" s="7"/>
      <c r="B86" s="7"/>
      <c r="C86" s="7"/>
      <c r="D86" s="7"/>
      <c r="E86" s="7"/>
      <c r="F86" s="7"/>
      <c r="G86" s="7"/>
      <c r="H86" s="7"/>
      <c r="I86" s="7"/>
      <c r="J86" s="8"/>
      <c r="K86" s="7"/>
      <c r="L86" s="8"/>
      <c r="M86" s="7"/>
      <c r="N86" s="8"/>
      <c r="O86" s="9">
        <f>IF(COUNTA(I86:N86)=0,"",SUM(J86,L86,N86))</f>
        <v/>
      </c>
      <c r="P86" s="7"/>
      <c r="Q86" s="7"/>
      <c r="R86" s="7"/>
      <c r="S86" s="7"/>
      <c r="T86" s="8"/>
      <c r="U86" s="7"/>
      <c r="V86" s="8"/>
      <c r="W86" s="7"/>
      <c r="X86" s="7"/>
      <c r="Y86" s="7"/>
      <c r="Z86" s="7"/>
      <c r="AA86" s="7"/>
      <c r="AB86" s="7"/>
      <c r="AC86" s="7"/>
      <c r="AD86" s="7"/>
      <c r="AE86" s="7"/>
      <c r="AF86" s="8"/>
      <c r="AG86" s="7"/>
      <c r="AH86" s="8"/>
      <c r="AI86" s="8"/>
      <c r="AJ86" s="8"/>
      <c r="AK86" s="8"/>
      <c r="AL86" s="8"/>
      <c r="AM86" s="8"/>
      <c r="AN86" s="7"/>
      <c r="AO86" s="7"/>
      <c r="AP86" s="7"/>
    </row>
    <row r="87" spans="1:42" ht="32" customHeight="1">
      <c r="A87" s="7"/>
      <c r="B87" s="7"/>
      <c r="C87" s="7"/>
      <c r="D87" s="7"/>
      <c r="E87" s="7"/>
      <c r="F87" s="7"/>
      <c r="G87" s="7"/>
      <c r="H87" s="7"/>
      <c r="I87" s="7"/>
      <c r="J87" s="8"/>
      <c r="K87" s="7"/>
      <c r="L87" s="8"/>
      <c r="M87" s="7"/>
      <c r="N87" s="8"/>
      <c r="O87" s="9">
        <f>IF(COUNTA(I87:N87)=0,"",SUM(J87,L87,N87))</f>
        <v/>
      </c>
      <c r="P87" s="7"/>
      <c r="Q87" s="7"/>
      <c r="R87" s="7"/>
      <c r="S87" s="7"/>
      <c r="T87" s="8"/>
      <c r="U87" s="7"/>
      <c r="V87" s="8"/>
      <c r="W87" s="7"/>
      <c r="X87" s="7"/>
      <c r="Y87" s="7"/>
      <c r="Z87" s="7"/>
      <c r="AA87" s="7"/>
      <c r="AB87" s="7"/>
      <c r="AC87" s="7"/>
      <c r="AD87" s="7"/>
      <c r="AE87" s="7"/>
      <c r="AF87" s="8"/>
      <c r="AG87" s="7"/>
      <c r="AH87" s="8"/>
      <c r="AI87" s="8"/>
      <c r="AJ87" s="8"/>
      <c r="AK87" s="8"/>
      <c r="AL87" s="8"/>
      <c r="AM87" s="8"/>
      <c r="AN87" s="7"/>
      <c r="AO87" s="7"/>
      <c r="AP87" s="7"/>
    </row>
    <row r="88" spans="1:42" ht="32" customHeight="1">
      <c r="A88" s="7"/>
      <c r="B88" s="7"/>
      <c r="C88" s="7"/>
      <c r="D88" s="7"/>
      <c r="E88" s="7"/>
      <c r="F88" s="7"/>
      <c r="G88" s="7"/>
      <c r="H88" s="7"/>
      <c r="I88" s="7"/>
      <c r="J88" s="8"/>
      <c r="K88" s="7"/>
      <c r="L88" s="8"/>
      <c r="M88" s="7"/>
      <c r="N88" s="8"/>
      <c r="O88" s="9">
        <f>IF(COUNTA(I88:N88)=0,"",SUM(J88,L88,N88))</f>
        <v/>
      </c>
      <c r="P88" s="7"/>
      <c r="Q88" s="7"/>
      <c r="R88" s="7"/>
      <c r="S88" s="7"/>
      <c r="T88" s="8"/>
      <c r="U88" s="7"/>
      <c r="V88" s="8"/>
      <c r="W88" s="7"/>
      <c r="X88" s="7"/>
      <c r="Y88" s="7"/>
      <c r="Z88" s="7"/>
      <c r="AA88" s="7"/>
      <c r="AB88" s="7"/>
      <c r="AC88" s="7"/>
      <c r="AD88" s="7"/>
      <c r="AE88" s="7"/>
      <c r="AF88" s="8"/>
      <c r="AG88" s="7"/>
      <c r="AH88" s="8"/>
      <c r="AI88" s="8"/>
      <c r="AJ88" s="8"/>
      <c r="AK88" s="8"/>
      <c r="AL88" s="8"/>
      <c r="AM88" s="8"/>
      <c r="AN88" s="7"/>
      <c r="AO88" s="7"/>
      <c r="AP88" s="7"/>
    </row>
    <row r="89" spans="1:42" ht="32" customHeight="1">
      <c r="A89" s="7"/>
      <c r="B89" s="7"/>
      <c r="C89" s="7"/>
      <c r="D89" s="7"/>
      <c r="E89" s="7"/>
      <c r="F89" s="7"/>
      <c r="G89" s="7"/>
      <c r="H89" s="7"/>
      <c r="I89" s="7"/>
      <c r="J89" s="8"/>
      <c r="K89" s="7"/>
      <c r="L89" s="8"/>
      <c r="M89" s="7"/>
      <c r="N89" s="8"/>
      <c r="O89" s="9">
        <f>IF(COUNTA(I89:N89)=0,"",SUM(J89,L89,N89))</f>
        <v/>
      </c>
      <c r="P89" s="7"/>
      <c r="Q89" s="7"/>
      <c r="R89" s="7"/>
      <c r="S89" s="7"/>
      <c r="T89" s="8"/>
      <c r="U89" s="7"/>
      <c r="V89" s="8"/>
      <c r="W89" s="7"/>
      <c r="X89" s="7"/>
      <c r="Y89" s="7"/>
      <c r="Z89" s="7"/>
      <c r="AA89" s="7"/>
      <c r="AB89" s="7"/>
      <c r="AC89" s="7"/>
      <c r="AD89" s="7"/>
      <c r="AE89" s="7"/>
      <c r="AF89" s="8"/>
      <c r="AG89" s="7"/>
      <c r="AH89" s="8"/>
      <c r="AI89" s="8"/>
      <c r="AJ89" s="8"/>
      <c r="AK89" s="8"/>
      <c r="AL89" s="8"/>
      <c r="AM89" s="8"/>
      <c r="AN89" s="7"/>
      <c r="AO89" s="7"/>
      <c r="AP89" s="7"/>
    </row>
    <row r="90" spans="1:42" ht="32" customHeight="1">
      <c r="A90" s="7"/>
      <c r="B90" s="7"/>
      <c r="C90" s="7"/>
      <c r="D90" s="7"/>
      <c r="E90" s="7"/>
      <c r="F90" s="7"/>
      <c r="G90" s="7"/>
      <c r="H90" s="7"/>
      <c r="I90" s="7"/>
      <c r="J90" s="8"/>
      <c r="K90" s="7"/>
      <c r="L90" s="8"/>
      <c r="M90" s="7"/>
      <c r="N90" s="8"/>
      <c r="O90" s="9">
        <f>IF(COUNTA(I90:N90)=0,"",SUM(J90,L90,N90))</f>
        <v/>
      </c>
      <c r="P90" s="7"/>
      <c r="Q90" s="7"/>
      <c r="R90" s="7"/>
      <c r="S90" s="7"/>
      <c r="T90" s="8"/>
      <c r="U90" s="7"/>
      <c r="V90" s="8"/>
      <c r="W90" s="7"/>
      <c r="X90" s="7"/>
      <c r="Y90" s="7"/>
      <c r="Z90" s="7"/>
      <c r="AA90" s="7"/>
      <c r="AB90" s="7"/>
      <c r="AC90" s="7"/>
      <c r="AD90" s="7"/>
      <c r="AE90" s="7"/>
      <c r="AF90" s="8"/>
      <c r="AG90" s="7"/>
      <c r="AH90" s="8"/>
      <c r="AI90" s="8"/>
      <c r="AJ90" s="8"/>
      <c r="AK90" s="8"/>
      <c r="AL90" s="8"/>
      <c r="AM90" s="8"/>
      <c r="AN90" s="7"/>
      <c r="AO90" s="7"/>
      <c r="AP90" s="7"/>
    </row>
    <row r="91" spans="1:42" ht="32" customHeight="1">
      <c r="A91" s="7"/>
      <c r="B91" s="7"/>
      <c r="C91" s="7"/>
      <c r="D91" s="7"/>
      <c r="E91" s="7"/>
      <c r="F91" s="7"/>
      <c r="G91" s="7"/>
      <c r="H91" s="7"/>
      <c r="I91" s="7"/>
      <c r="J91" s="8"/>
      <c r="K91" s="7"/>
      <c r="L91" s="8"/>
      <c r="M91" s="7"/>
      <c r="N91" s="8"/>
      <c r="O91" s="9">
        <f>IF(COUNTA(I91:N91)=0,"",SUM(J91,L91,N91))</f>
        <v/>
      </c>
      <c r="P91" s="7"/>
      <c r="Q91" s="7"/>
      <c r="R91" s="7"/>
      <c r="S91" s="7"/>
      <c r="T91" s="8"/>
      <c r="U91" s="7"/>
      <c r="V91" s="8"/>
      <c r="W91" s="7"/>
      <c r="X91" s="7"/>
      <c r="Y91" s="7"/>
      <c r="Z91" s="7"/>
      <c r="AA91" s="7"/>
      <c r="AB91" s="7"/>
      <c r="AC91" s="7"/>
      <c r="AD91" s="7"/>
      <c r="AE91" s="7"/>
      <c r="AF91" s="8"/>
      <c r="AG91" s="7"/>
      <c r="AH91" s="8"/>
      <c r="AI91" s="8"/>
      <c r="AJ91" s="8"/>
      <c r="AK91" s="8"/>
      <c r="AL91" s="8"/>
      <c r="AM91" s="8"/>
      <c r="AN91" s="7"/>
      <c r="AO91" s="7"/>
      <c r="AP91" s="7"/>
    </row>
    <row r="92" spans="1:42" ht="32" customHeight="1">
      <c r="A92" s="7"/>
      <c r="B92" s="7"/>
      <c r="C92" s="7"/>
      <c r="D92" s="7"/>
      <c r="E92" s="7"/>
      <c r="F92" s="7"/>
      <c r="G92" s="7"/>
      <c r="H92" s="7"/>
      <c r="I92" s="7"/>
      <c r="J92" s="8"/>
      <c r="K92" s="7"/>
      <c r="L92" s="8"/>
      <c r="M92" s="7"/>
      <c r="N92" s="8"/>
      <c r="O92" s="9">
        <f>IF(COUNTA(I92:N92)=0,"",SUM(J92,L92,N92))</f>
        <v/>
      </c>
      <c r="P92" s="7"/>
      <c r="Q92" s="7"/>
      <c r="R92" s="7"/>
      <c r="S92" s="7"/>
      <c r="T92" s="8"/>
      <c r="U92" s="7"/>
      <c r="V92" s="8"/>
      <c r="W92" s="7"/>
      <c r="X92" s="7"/>
      <c r="Y92" s="7"/>
      <c r="Z92" s="7"/>
      <c r="AA92" s="7"/>
      <c r="AB92" s="7"/>
      <c r="AC92" s="7"/>
      <c r="AD92" s="7"/>
      <c r="AE92" s="7"/>
      <c r="AF92" s="8"/>
      <c r="AG92" s="7"/>
      <c r="AH92" s="8"/>
      <c r="AI92" s="8"/>
      <c r="AJ92" s="8"/>
      <c r="AK92" s="8"/>
      <c r="AL92" s="8"/>
      <c r="AM92" s="8"/>
      <c r="AN92" s="7"/>
      <c r="AO92" s="7"/>
      <c r="AP92" s="7"/>
    </row>
    <row r="93" spans="1:42" ht="32" customHeight="1">
      <c r="A93" s="7"/>
      <c r="B93" s="7"/>
      <c r="C93" s="7"/>
      <c r="D93" s="7"/>
      <c r="E93" s="7"/>
      <c r="F93" s="7"/>
      <c r="G93" s="7"/>
      <c r="H93" s="7"/>
      <c r="I93" s="7"/>
      <c r="J93" s="8"/>
      <c r="K93" s="7"/>
      <c r="L93" s="8"/>
      <c r="M93" s="7"/>
      <c r="N93" s="8"/>
      <c r="O93" s="9">
        <f>IF(COUNTA(I93:N93)=0,"",SUM(J93,L93,N93))</f>
        <v/>
      </c>
      <c r="P93" s="7"/>
      <c r="Q93" s="7"/>
      <c r="R93" s="7"/>
      <c r="S93" s="7"/>
      <c r="T93" s="8"/>
      <c r="U93" s="7"/>
      <c r="V93" s="8"/>
      <c r="W93" s="7"/>
      <c r="X93" s="7"/>
      <c r="Y93" s="7"/>
      <c r="Z93" s="7"/>
      <c r="AA93" s="7"/>
      <c r="AB93" s="7"/>
      <c r="AC93" s="7"/>
      <c r="AD93" s="7"/>
      <c r="AE93" s="7"/>
      <c r="AF93" s="8"/>
      <c r="AG93" s="7"/>
      <c r="AH93" s="8"/>
      <c r="AI93" s="8"/>
      <c r="AJ93" s="8"/>
      <c r="AK93" s="8"/>
      <c r="AL93" s="8"/>
      <c r="AM93" s="8"/>
      <c r="AN93" s="7"/>
      <c r="AO93" s="7"/>
      <c r="AP93" s="7"/>
    </row>
    <row r="94" spans="1:42" ht="32" customHeight="1">
      <c r="A94" s="7"/>
      <c r="B94" s="7"/>
      <c r="C94" s="7"/>
      <c r="D94" s="7"/>
      <c r="E94" s="7"/>
      <c r="F94" s="7"/>
      <c r="G94" s="7"/>
      <c r="H94" s="7"/>
      <c r="I94" s="7"/>
      <c r="J94" s="8"/>
      <c r="K94" s="7"/>
      <c r="L94" s="8"/>
      <c r="M94" s="7"/>
      <c r="N94" s="8"/>
      <c r="O94" s="9">
        <f>IF(COUNTA(I94:N94)=0,"",SUM(J94,L94,N94))</f>
        <v/>
      </c>
      <c r="P94" s="7"/>
      <c r="Q94" s="7"/>
      <c r="R94" s="7"/>
      <c r="S94" s="7"/>
      <c r="T94" s="8"/>
      <c r="U94" s="7"/>
      <c r="V94" s="8"/>
      <c r="W94" s="7"/>
      <c r="X94" s="7"/>
      <c r="Y94" s="7"/>
      <c r="Z94" s="7"/>
      <c r="AA94" s="7"/>
      <c r="AB94" s="7"/>
      <c r="AC94" s="7"/>
      <c r="AD94" s="7"/>
      <c r="AE94" s="7"/>
      <c r="AF94" s="8"/>
      <c r="AG94" s="7"/>
      <c r="AH94" s="8"/>
      <c r="AI94" s="8"/>
      <c r="AJ94" s="8"/>
      <c r="AK94" s="8"/>
      <c r="AL94" s="8"/>
      <c r="AM94" s="8"/>
      <c r="AN94" s="7"/>
      <c r="AO94" s="7"/>
      <c r="AP94" s="7"/>
    </row>
    <row r="95" spans="1:42" ht="32" customHeight="1">
      <c r="A95" s="7"/>
      <c r="B95" s="7"/>
      <c r="C95" s="7"/>
      <c r="D95" s="7"/>
      <c r="E95" s="7"/>
      <c r="F95" s="7"/>
      <c r="G95" s="7"/>
      <c r="H95" s="7"/>
      <c r="I95" s="7"/>
      <c r="J95" s="8"/>
      <c r="K95" s="7"/>
      <c r="L95" s="8"/>
      <c r="M95" s="7"/>
      <c r="N95" s="8"/>
      <c r="O95" s="9">
        <f>IF(COUNTA(I95:N95)=0,"",SUM(J95,L95,N95))</f>
        <v/>
      </c>
      <c r="P95" s="7"/>
      <c r="Q95" s="7"/>
      <c r="R95" s="7"/>
      <c r="S95" s="7"/>
      <c r="T95" s="8"/>
      <c r="U95" s="7"/>
      <c r="V95" s="8"/>
      <c r="W95" s="7"/>
      <c r="X95" s="7"/>
      <c r="Y95" s="7"/>
      <c r="Z95" s="7"/>
      <c r="AA95" s="7"/>
      <c r="AB95" s="7"/>
      <c r="AC95" s="7"/>
      <c r="AD95" s="7"/>
      <c r="AE95" s="7"/>
      <c r="AF95" s="8"/>
      <c r="AG95" s="7"/>
      <c r="AH95" s="8"/>
      <c r="AI95" s="8"/>
      <c r="AJ95" s="8"/>
      <c r="AK95" s="8"/>
      <c r="AL95" s="8"/>
      <c r="AM95" s="8"/>
      <c r="AN95" s="7"/>
      <c r="AO95" s="7"/>
      <c r="AP95" s="7"/>
    </row>
    <row r="96" spans="1:42" ht="32" customHeight="1">
      <c r="A96" s="7"/>
      <c r="B96" s="7"/>
      <c r="C96" s="7"/>
      <c r="D96" s="7"/>
      <c r="E96" s="7"/>
      <c r="F96" s="7"/>
      <c r="G96" s="7"/>
      <c r="H96" s="7"/>
      <c r="I96" s="7"/>
      <c r="J96" s="8"/>
      <c r="K96" s="7"/>
      <c r="L96" s="8"/>
      <c r="M96" s="7"/>
      <c r="N96" s="8"/>
      <c r="O96" s="9">
        <f>IF(COUNTA(I96:N96)=0,"",SUM(J96,L96,N96))</f>
        <v/>
      </c>
      <c r="P96" s="7"/>
      <c r="Q96" s="7"/>
      <c r="R96" s="7"/>
      <c r="S96" s="7"/>
      <c r="T96" s="8"/>
      <c r="U96" s="7"/>
      <c r="V96" s="8"/>
      <c r="W96" s="7"/>
      <c r="X96" s="7"/>
      <c r="Y96" s="7"/>
      <c r="Z96" s="7"/>
      <c r="AA96" s="7"/>
      <c r="AB96" s="7"/>
      <c r="AC96" s="7"/>
      <c r="AD96" s="7"/>
      <c r="AE96" s="7"/>
      <c r="AF96" s="8"/>
      <c r="AG96" s="7"/>
      <c r="AH96" s="8"/>
      <c r="AI96" s="8"/>
      <c r="AJ96" s="8"/>
      <c r="AK96" s="8"/>
      <c r="AL96" s="8"/>
      <c r="AM96" s="8"/>
      <c r="AN96" s="7"/>
      <c r="AO96" s="7"/>
      <c r="AP96" s="7"/>
    </row>
    <row r="97" spans="1:42" ht="32" customHeight="1">
      <c r="A97" s="7"/>
      <c r="B97" s="7"/>
      <c r="C97" s="7"/>
      <c r="D97" s="7"/>
      <c r="E97" s="7"/>
      <c r="F97" s="7"/>
      <c r="G97" s="7"/>
      <c r="H97" s="7"/>
      <c r="I97" s="7"/>
      <c r="J97" s="8"/>
      <c r="K97" s="7"/>
      <c r="L97" s="8"/>
      <c r="M97" s="7"/>
      <c r="N97" s="8"/>
      <c r="O97" s="9">
        <f>IF(COUNTA(I97:N97)=0,"",SUM(J97,L97,N97))</f>
        <v/>
      </c>
      <c r="P97" s="7"/>
      <c r="Q97" s="7"/>
      <c r="R97" s="7"/>
      <c r="S97" s="7"/>
      <c r="T97" s="8"/>
      <c r="U97" s="7"/>
      <c r="V97" s="8"/>
      <c r="W97" s="7"/>
      <c r="X97" s="7"/>
      <c r="Y97" s="7"/>
      <c r="Z97" s="7"/>
      <c r="AA97" s="7"/>
      <c r="AB97" s="7"/>
      <c r="AC97" s="7"/>
      <c r="AD97" s="7"/>
      <c r="AE97" s="7"/>
      <c r="AF97" s="8"/>
      <c r="AG97" s="7"/>
      <c r="AH97" s="8"/>
      <c r="AI97" s="8"/>
      <c r="AJ97" s="8"/>
      <c r="AK97" s="8"/>
      <c r="AL97" s="8"/>
      <c r="AM97" s="8"/>
      <c r="AN97" s="7"/>
      <c r="AO97" s="7"/>
      <c r="AP97" s="7"/>
    </row>
    <row r="98" spans="1:42" ht="32" customHeight="1">
      <c r="A98" s="7"/>
      <c r="B98" s="7"/>
      <c r="C98" s="7"/>
      <c r="D98" s="7"/>
      <c r="E98" s="7"/>
      <c r="F98" s="7"/>
      <c r="G98" s="7"/>
      <c r="H98" s="7"/>
      <c r="I98" s="7"/>
      <c r="J98" s="8"/>
      <c r="K98" s="7"/>
      <c r="L98" s="8"/>
      <c r="M98" s="7"/>
      <c r="N98" s="8"/>
      <c r="O98" s="9">
        <f>IF(COUNTA(I98:N98)=0,"",SUM(J98,L98,N98))</f>
        <v/>
      </c>
      <c r="P98" s="7"/>
      <c r="Q98" s="7"/>
      <c r="R98" s="7"/>
      <c r="S98" s="7"/>
      <c r="T98" s="8"/>
      <c r="U98" s="7"/>
      <c r="V98" s="8"/>
      <c r="W98" s="7"/>
      <c r="X98" s="7"/>
      <c r="Y98" s="7"/>
      <c r="Z98" s="7"/>
      <c r="AA98" s="7"/>
      <c r="AB98" s="7"/>
      <c r="AC98" s="7"/>
      <c r="AD98" s="7"/>
      <c r="AE98" s="7"/>
      <c r="AF98" s="8"/>
      <c r="AG98" s="7"/>
      <c r="AH98" s="8"/>
      <c r="AI98" s="8"/>
      <c r="AJ98" s="8"/>
      <c r="AK98" s="8"/>
      <c r="AL98" s="8"/>
      <c r="AM98" s="8"/>
      <c r="AN98" s="7"/>
      <c r="AO98" s="7"/>
      <c r="AP98" s="7"/>
    </row>
    <row r="99" spans="1:42" ht="32" customHeight="1">
      <c r="A99" s="7"/>
      <c r="B99" s="7"/>
      <c r="C99" s="7"/>
      <c r="D99" s="7"/>
      <c r="E99" s="7"/>
      <c r="F99" s="7"/>
      <c r="G99" s="7"/>
      <c r="H99" s="7"/>
      <c r="I99" s="7"/>
      <c r="J99" s="8"/>
      <c r="K99" s="7"/>
      <c r="L99" s="8"/>
      <c r="M99" s="7"/>
      <c r="N99" s="8"/>
      <c r="O99" s="9">
        <f>IF(COUNTA(I99:N99)=0,"",SUM(J99,L99,N99))</f>
        <v/>
      </c>
      <c r="P99" s="7"/>
      <c r="Q99" s="7"/>
      <c r="R99" s="7"/>
      <c r="S99" s="7"/>
      <c r="T99" s="8"/>
      <c r="U99" s="7"/>
      <c r="V99" s="8"/>
      <c r="W99" s="7"/>
      <c r="X99" s="7"/>
      <c r="Y99" s="7"/>
      <c r="Z99" s="7"/>
      <c r="AA99" s="7"/>
      <c r="AB99" s="7"/>
      <c r="AC99" s="7"/>
      <c r="AD99" s="7"/>
      <c r="AE99" s="7"/>
      <c r="AF99" s="8"/>
      <c r="AG99" s="7"/>
      <c r="AH99" s="8"/>
      <c r="AI99" s="8"/>
      <c r="AJ99" s="8"/>
      <c r="AK99" s="8"/>
      <c r="AL99" s="8"/>
      <c r="AM99" s="8"/>
      <c r="AN99" s="7"/>
      <c r="AO99" s="7"/>
      <c r="AP99" s="7"/>
    </row>
    <row r="100" spans="1:42" ht="32" customHeight="1">
      <c r="A100" s="7"/>
      <c r="B100" s="7"/>
      <c r="C100" s="7"/>
      <c r="D100" s="7"/>
      <c r="E100" s="7"/>
      <c r="F100" s="7"/>
      <c r="G100" s="7"/>
      <c r="H100" s="7"/>
      <c r="I100" s="7"/>
      <c r="J100" s="8"/>
      <c r="K100" s="7"/>
      <c r="L100" s="8"/>
      <c r="M100" s="7"/>
      <c r="N100" s="8"/>
      <c r="O100" s="9">
        <f>IF(COUNTA(I100:N100)=0,"",SUM(J100,L100,N100))</f>
        <v/>
      </c>
      <c r="P100" s="7"/>
      <c r="Q100" s="7"/>
      <c r="R100" s="7"/>
      <c r="S100" s="7"/>
      <c r="T100" s="8"/>
      <c r="U100" s="7"/>
      <c r="V100" s="8"/>
      <c r="W100" s="7"/>
      <c r="X100" s="7"/>
      <c r="Y100" s="7"/>
      <c r="Z100" s="7"/>
      <c r="AA100" s="7"/>
      <c r="AB100" s="7"/>
      <c r="AC100" s="7"/>
      <c r="AD100" s="7"/>
      <c r="AE100" s="7"/>
      <c r="AF100" s="8"/>
      <c r="AG100" s="7"/>
      <c r="AH100" s="8"/>
      <c r="AI100" s="8"/>
      <c r="AJ100" s="8"/>
      <c r="AK100" s="8"/>
      <c r="AL100" s="8"/>
      <c r="AM100" s="8"/>
      <c r="AN100" s="7"/>
      <c r="AO100" s="7"/>
      <c r="AP100" s="7"/>
    </row>
    <row r="101" spans="1:42" ht="32" customHeight="1">
      <c r="A101" s="7"/>
      <c r="B101" s="7"/>
      <c r="C101" s="7"/>
      <c r="D101" s="7"/>
      <c r="E101" s="7"/>
      <c r="F101" s="7"/>
      <c r="G101" s="7"/>
      <c r="H101" s="7"/>
      <c r="I101" s="7"/>
      <c r="J101" s="8"/>
      <c r="K101" s="7"/>
      <c r="L101" s="8"/>
      <c r="M101" s="7"/>
      <c r="N101" s="8"/>
      <c r="O101" s="9">
        <f>IF(COUNTA(I101:N101)=0,"",SUM(J101,L101,N101))</f>
        <v/>
      </c>
      <c r="P101" s="7"/>
      <c r="Q101" s="7"/>
      <c r="R101" s="7"/>
      <c r="S101" s="7"/>
      <c r="T101" s="8"/>
      <c r="U101" s="7"/>
      <c r="V101" s="8"/>
      <c r="W101" s="7"/>
      <c r="X101" s="7"/>
      <c r="Y101" s="7"/>
      <c r="Z101" s="7"/>
      <c r="AA101" s="7"/>
      <c r="AB101" s="7"/>
      <c r="AC101" s="7"/>
      <c r="AD101" s="7"/>
      <c r="AE101" s="7"/>
      <c r="AF101" s="8"/>
      <c r="AG101" s="7"/>
      <c r="AH101" s="8"/>
      <c r="AI101" s="8"/>
      <c r="AJ101" s="8"/>
      <c r="AK101" s="8"/>
      <c r="AL101" s="8"/>
      <c r="AM101" s="8"/>
      <c r="AN101" s="7"/>
      <c r="AO101" s="7"/>
      <c r="AP101" s="7"/>
    </row>
    <row r="102" spans="1:42" ht="32" customHeight="1">
      <c r="A102" s="7"/>
      <c r="B102" s="7"/>
      <c r="C102" s="7"/>
      <c r="D102" s="7"/>
      <c r="E102" s="7"/>
      <c r="F102" s="7"/>
      <c r="G102" s="7"/>
      <c r="H102" s="7"/>
      <c r="I102" s="7"/>
      <c r="J102" s="8"/>
      <c r="K102" s="7"/>
      <c r="L102" s="8"/>
      <c r="M102" s="7"/>
      <c r="N102" s="8"/>
      <c r="O102" s="9">
        <f>IF(COUNTA(I102:N102)=0,"",SUM(J102,L102,N102))</f>
        <v/>
      </c>
      <c r="P102" s="7"/>
      <c r="Q102" s="7"/>
      <c r="R102" s="7"/>
      <c r="S102" s="7"/>
      <c r="T102" s="8"/>
      <c r="U102" s="7"/>
      <c r="V102" s="8"/>
      <c r="W102" s="7"/>
      <c r="X102" s="7"/>
      <c r="Y102" s="7"/>
      <c r="Z102" s="7"/>
      <c r="AA102" s="7"/>
      <c r="AB102" s="7"/>
      <c r="AC102" s="7"/>
      <c r="AD102" s="7"/>
      <c r="AE102" s="7"/>
      <c r="AF102" s="8"/>
      <c r="AG102" s="7"/>
      <c r="AH102" s="8"/>
      <c r="AI102" s="8"/>
      <c r="AJ102" s="8"/>
      <c r="AK102" s="8"/>
      <c r="AL102" s="8"/>
      <c r="AM102" s="8"/>
      <c r="AN102" s="7"/>
      <c r="AO102" s="7"/>
      <c r="AP102" s="7"/>
    </row>
    <row r="103" spans="1:42" ht="32" customHeight="1">
      <c r="A103" s="7"/>
      <c r="B103" s="7"/>
      <c r="C103" s="7"/>
      <c r="D103" s="7"/>
      <c r="E103" s="7"/>
      <c r="F103" s="7"/>
      <c r="G103" s="7"/>
      <c r="H103" s="7"/>
      <c r="I103" s="7"/>
      <c r="J103" s="8"/>
      <c r="K103" s="7"/>
      <c r="L103" s="8"/>
      <c r="M103" s="7"/>
      <c r="N103" s="8"/>
      <c r="O103" s="9">
        <f>IF(COUNTA(I103:N103)=0,"",SUM(J103,L103,N103))</f>
        <v/>
      </c>
      <c r="P103" s="7"/>
      <c r="Q103" s="7"/>
      <c r="R103" s="7"/>
      <c r="S103" s="7"/>
      <c r="T103" s="8"/>
      <c r="U103" s="7"/>
      <c r="V103" s="8"/>
      <c r="W103" s="7"/>
      <c r="X103" s="7"/>
      <c r="Y103" s="7"/>
      <c r="Z103" s="7"/>
      <c r="AA103" s="7"/>
      <c r="AB103" s="7"/>
      <c r="AC103" s="7"/>
      <c r="AD103" s="7"/>
      <c r="AE103" s="7"/>
      <c r="AF103" s="8"/>
      <c r="AG103" s="7"/>
      <c r="AH103" s="8"/>
      <c r="AI103" s="8"/>
      <c r="AJ103" s="8"/>
      <c r="AK103" s="8"/>
      <c r="AL103" s="8"/>
      <c r="AM103" s="8"/>
      <c r="AN103" s="7"/>
      <c r="AO103" s="7"/>
      <c r="AP103" s="7"/>
    </row>
    <row r="104" spans="1:42" ht="32" customHeight="1">
      <c r="A104" s="7"/>
      <c r="B104" s="7"/>
      <c r="C104" s="7"/>
      <c r="D104" s="7"/>
      <c r="E104" s="7"/>
      <c r="F104" s="7"/>
      <c r="G104" s="7"/>
      <c r="H104" s="7"/>
      <c r="I104" s="7"/>
      <c r="J104" s="8"/>
      <c r="K104" s="7"/>
      <c r="L104" s="8"/>
      <c r="M104" s="7"/>
      <c r="N104" s="8"/>
      <c r="O104" s="9">
        <f>IF(COUNTA(I104:N104)=0,"",SUM(J104,L104,N104))</f>
        <v/>
      </c>
      <c r="P104" s="7"/>
      <c r="Q104" s="7"/>
      <c r="R104" s="7"/>
      <c r="S104" s="7"/>
      <c r="T104" s="8"/>
      <c r="U104" s="7"/>
      <c r="V104" s="8"/>
      <c r="W104" s="7"/>
      <c r="X104" s="7"/>
      <c r="Y104" s="7"/>
      <c r="Z104" s="7"/>
      <c r="AA104" s="7"/>
      <c r="AB104" s="7"/>
      <c r="AC104" s="7"/>
      <c r="AD104" s="7"/>
      <c r="AE104" s="7"/>
      <c r="AF104" s="8"/>
      <c r="AG104" s="7"/>
      <c r="AH104" s="8"/>
      <c r="AI104" s="8"/>
      <c r="AJ104" s="8"/>
      <c r="AK104" s="8"/>
      <c r="AL104" s="8"/>
      <c r="AM104" s="8"/>
      <c r="AN104" s="7"/>
      <c r="AO104" s="7"/>
      <c r="AP104" s="7"/>
    </row>
    <row r="105" spans="1:42" ht="32" customHeight="1">
      <c r="A105" s="7"/>
      <c r="B105" s="7"/>
      <c r="C105" s="7"/>
      <c r="D105" s="7"/>
      <c r="E105" s="7"/>
      <c r="F105" s="7"/>
      <c r="G105" s="7"/>
      <c r="H105" s="7"/>
      <c r="I105" s="7"/>
      <c r="J105" s="8"/>
      <c r="K105" s="7"/>
      <c r="L105" s="8"/>
      <c r="M105" s="7"/>
      <c r="N105" s="8"/>
      <c r="O105" s="9">
        <f>IF(COUNTA(I105:N105)=0,"",SUM(J105,L105,N105))</f>
        <v/>
      </c>
      <c r="P105" s="7"/>
      <c r="Q105" s="7"/>
      <c r="R105" s="7"/>
      <c r="S105" s="7"/>
      <c r="T105" s="8"/>
      <c r="U105" s="7"/>
      <c r="V105" s="8"/>
      <c r="W105" s="7"/>
      <c r="X105" s="7"/>
      <c r="Y105" s="7"/>
      <c r="Z105" s="7"/>
      <c r="AA105" s="7"/>
      <c r="AB105" s="7"/>
      <c r="AC105" s="7"/>
      <c r="AD105" s="7"/>
      <c r="AE105" s="7"/>
      <c r="AF105" s="8"/>
      <c r="AG105" s="7"/>
      <c r="AH105" s="8"/>
      <c r="AI105" s="8"/>
      <c r="AJ105" s="8"/>
      <c r="AK105" s="8"/>
      <c r="AL105" s="8"/>
      <c r="AM105" s="8"/>
      <c r="AN105" s="7"/>
      <c r="AO105" s="7"/>
      <c r="AP105" s="7"/>
    </row>
  </sheetData>
  <autoFilter ref="A5:AP105"/>
  <mergeCells count="2">
    <mergeCell ref="A1:AP1"/>
    <mergeCell ref="A2:AP3"/>
  </mergeCells>
  <conditionalFormatting sqref="AA6:AA105">
    <cfRule type="expression" dxfId="1" priority="115">
      <formula>AND($A6&lt;&gt;"",AA6="")</formula>
    </cfRule>
  </conditionalFormatting>
  <conditionalFormatting sqref="B6:B105">
    <cfRule type="expression" dxfId="1" priority="102">
      <formula>AND($A6&lt;&gt;"",B6="")</formula>
    </cfRule>
  </conditionalFormatting>
  <conditionalFormatting sqref="C6:C105">
    <cfRule type="expression" dxfId="1" priority="103">
      <formula>AND($A6&lt;&gt;"",C6="")</formula>
    </cfRule>
  </conditionalFormatting>
  <conditionalFormatting sqref="D6:D105">
    <cfRule type="expression" dxfId="1" priority="104">
      <formula>AND($A6&lt;&gt;"",D6="")</formula>
    </cfRule>
  </conditionalFormatting>
  <conditionalFormatting sqref="F6:F105">
    <cfRule type="expression" dxfId="1" priority="105">
      <formula>AND($A6&lt;&gt;"",F6="")</formula>
    </cfRule>
  </conditionalFormatting>
  <conditionalFormatting sqref="G6:G105">
    <cfRule type="expression" dxfId="1" priority="106">
      <formula>AND($A6&lt;&gt;"",G6="")</formula>
    </cfRule>
  </conditionalFormatting>
  <conditionalFormatting sqref="H6:H105">
    <cfRule type="expression" dxfId="1" priority="107">
      <formula>AND($A6&lt;&gt;"",H6="")</formula>
    </cfRule>
  </conditionalFormatting>
  <conditionalFormatting sqref="O10">
    <cfRule type="expression" dxfId="0" priority="5">
      <formula>AND($O10&lt;&gt;"",$O10&lt;&gt;100)</formula>
    </cfRule>
  </conditionalFormatting>
  <conditionalFormatting sqref="O100">
    <cfRule type="expression" dxfId="0" priority="95">
      <formula>AND($O100&lt;&gt;"",$O100&lt;&gt;100)</formula>
    </cfRule>
  </conditionalFormatting>
  <conditionalFormatting sqref="O101">
    <cfRule type="expression" dxfId="0" priority="96">
      <formula>AND($O101&lt;&gt;"",$O101&lt;&gt;100)</formula>
    </cfRule>
  </conditionalFormatting>
  <conditionalFormatting sqref="O102">
    <cfRule type="expression" dxfId="0" priority="97">
      <formula>AND($O102&lt;&gt;"",$O102&lt;&gt;100)</formula>
    </cfRule>
  </conditionalFormatting>
  <conditionalFormatting sqref="O103">
    <cfRule type="expression" dxfId="0" priority="98">
      <formula>AND($O103&lt;&gt;"",$O103&lt;&gt;100)</formula>
    </cfRule>
  </conditionalFormatting>
  <conditionalFormatting sqref="O104">
    <cfRule type="expression" dxfId="0" priority="99">
      <formula>AND($O104&lt;&gt;"",$O104&lt;&gt;100)</formula>
    </cfRule>
  </conditionalFormatting>
  <conditionalFormatting sqref="O105">
    <cfRule type="expression" dxfId="0" priority="100">
      <formula>AND($O105&lt;&gt;"",$O105&lt;&gt;100)</formula>
    </cfRule>
  </conditionalFormatting>
  <conditionalFormatting sqref="O11">
    <cfRule type="expression" dxfId="0" priority="6">
      <formula>AND($O11&lt;&gt;"",$O11&lt;&gt;100)</formula>
    </cfRule>
  </conditionalFormatting>
  <conditionalFormatting sqref="O12">
    <cfRule type="expression" dxfId="0" priority="7">
      <formula>AND($O12&lt;&gt;"",$O12&lt;&gt;100)</formula>
    </cfRule>
  </conditionalFormatting>
  <conditionalFormatting sqref="O13">
    <cfRule type="expression" dxfId="0" priority="8">
      <formula>AND($O13&lt;&gt;"",$O13&lt;&gt;100)</formula>
    </cfRule>
  </conditionalFormatting>
  <conditionalFormatting sqref="O14">
    <cfRule type="expression" dxfId="0" priority="9">
      <formula>AND($O14&lt;&gt;"",$O14&lt;&gt;100)</formula>
    </cfRule>
  </conditionalFormatting>
  <conditionalFormatting sqref="O15">
    <cfRule type="expression" dxfId="0" priority="10">
      <formula>AND($O15&lt;&gt;"",$O15&lt;&gt;100)</formula>
    </cfRule>
  </conditionalFormatting>
  <conditionalFormatting sqref="O16">
    <cfRule type="expression" dxfId="0" priority="11">
      <formula>AND($O16&lt;&gt;"",$O16&lt;&gt;100)</formula>
    </cfRule>
  </conditionalFormatting>
  <conditionalFormatting sqref="O17">
    <cfRule type="expression" dxfId="0" priority="12">
      <formula>AND($O17&lt;&gt;"",$O17&lt;&gt;100)</formula>
    </cfRule>
  </conditionalFormatting>
  <conditionalFormatting sqref="O18">
    <cfRule type="expression" dxfId="0" priority="13">
      <formula>AND($O18&lt;&gt;"",$O18&lt;&gt;100)</formula>
    </cfRule>
  </conditionalFormatting>
  <conditionalFormatting sqref="O19">
    <cfRule type="expression" dxfId="0" priority="14">
      <formula>AND($O19&lt;&gt;"",$O19&lt;&gt;100)</formula>
    </cfRule>
  </conditionalFormatting>
  <conditionalFormatting sqref="O20">
    <cfRule type="expression" dxfId="0" priority="15">
      <formula>AND($O20&lt;&gt;"",$O20&lt;&gt;100)</formula>
    </cfRule>
  </conditionalFormatting>
  <conditionalFormatting sqref="O21">
    <cfRule type="expression" dxfId="0" priority="16">
      <formula>AND($O21&lt;&gt;"",$O21&lt;&gt;100)</formula>
    </cfRule>
  </conditionalFormatting>
  <conditionalFormatting sqref="O22">
    <cfRule type="expression" dxfId="0" priority="17">
      <formula>AND($O22&lt;&gt;"",$O22&lt;&gt;100)</formula>
    </cfRule>
  </conditionalFormatting>
  <conditionalFormatting sqref="O23">
    <cfRule type="expression" dxfId="0" priority="18">
      <formula>AND($O23&lt;&gt;"",$O23&lt;&gt;100)</formula>
    </cfRule>
  </conditionalFormatting>
  <conditionalFormatting sqref="O24">
    <cfRule type="expression" dxfId="0" priority="19">
      <formula>AND($O24&lt;&gt;"",$O24&lt;&gt;100)</formula>
    </cfRule>
  </conditionalFormatting>
  <conditionalFormatting sqref="O25">
    <cfRule type="expression" dxfId="0" priority="20">
      <formula>AND($O25&lt;&gt;"",$O25&lt;&gt;100)</formula>
    </cfRule>
  </conditionalFormatting>
  <conditionalFormatting sqref="O26">
    <cfRule type="expression" dxfId="0" priority="21">
      <formula>AND($O26&lt;&gt;"",$O26&lt;&gt;100)</formula>
    </cfRule>
  </conditionalFormatting>
  <conditionalFormatting sqref="O27">
    <cfRule type="expression" dxfId="0" priority="22">
      <formula>AND($O27&lt;&gt;"",$O27&lt;&gt;100)</formula>
    </cfRule>
  </conditionalFormatting>
  <conditionalFormatting sqref="O28">
    <cfRule type="expression" dxfId="0" priority="23">
      <formula>AND($O28&lt;&gt;"",$O28&lt;&gt;100)</formula>
    </cfRule>
  </conditionalFormatting>
  <conditionalFormatting sqref="O29">
    <cfRule type="expression" dxfId="0" priority="24">
      <formula>AND($O29&lt;&gt;"",$O29&lt;&gt;100)</formula>
    </cfRule>
  </conditionalFormatting>
  <conditionalFormatting sqref="O30">
    <cfRule type="expression" dxfId="0" priority="25">
      <formula>AND($O30&lt;&gt;"",$O30&lt;&gt;100)</formula>
    </cfRule>
  </conditionalFormatting>
  <conditionalFormatting sqref="O31">
    <cfRule type="expression" dxfId="0" priority="26">
      <formula>AND($O31&lt;&gt;"",$O31&lt;&gt;100)</formula>
    </cfRule>
  </conditionalFormatting>
  <conditionalFormatting sqref="O32">
    <cfRule type="expression" dxfId="0" priority="27">
      <formula>AND($O32&lt;&gt;"",$O32&lt;&gt;100)</formula>
    </cfRule>
  </conditionalFormatting>
  <conditionalFormatting sqref="O33">
    <cfRule type="expression" dxfId="0" priority="28">
      <formula>AND($O33&lt;&gt;"",$O33&lt;&gt;100)</formula>
    </cfRule>
  </conditionalFormatting>
  <conditionalFormatting sqref="O34">
    <cfRule type="expression" dxfId="0" priority="29">
      <formula>AND($O34&lt;&gt;"",$O34&lt;&gt;100)</formula>
    </cfRule>
  </conditionalFormatting>
  <conditionalFormatting sqref="O35">
    <cfRule type="expression" dxfId="0" priority="30">
      <formula>AND($O35&lt;&gt;"",$O35&lt;&gt;100)</formula>
    </cfRule>
  </conditionalFormatting>
  <conditionalFormatting sqref="O36">
    <cfRule type="expression" dxfId="0" priority="31">
      <formula>AND($O36&lt;&gt;"",$O36&lt;&gt;100)</formula>
    </cfRule>
  </conditionalFormatting>
  <conditionalFormatting sqref="O37">
    <cfRule type="expression" dxfId="0" priority="32">
      <formula>AND($O37&lt;&gt;"",$O37&lt;&gt;100)</formula>
    </cfRule>
  </conditionalFormatting>
  <conditionalFormatting sqref="O38">
    <cfRule type="expression" dxfId="0" priority="33">
      <formula>AND($O38&lt;&gt;"",$O38&lt;&gt;100)</formula>
    </cfRule>
  </conditionalFormatting>
  <conditionalFormatting sqref="O39">
    <cfRule type="expression" dxfId="0" priority="34">
      <formula>AND($O39&lt;&gt;"",$O39&lt;&gt;100)</formula>
    </cfRule>
  </conditionalFormatting>
  <conditionalFormatting sqref="O40">
    <cfRule type="expression" dxfId="0" priority="35">
      <formula>AND($O40&lt;&gt;"",$O40&lt;&gt;100)</formula>
    </cfRule>
  </conditionalFormatting>
  <conditionalFormatting sqref="O41">
    <cfRule type="expression" dxfId="0" priority="36">
      <formula>AND($O41&lt;&gt;"",$O41&lt;&gt;100)</formula>
    </cfRule>
  </conditionalFormatting>
  <conditionalFormatting sqref="O42">
    <cfRule type="expression" dxfId="0" priority="37">
      <formula>AND($O42&lt;&gt;"",$O42&lt;&gt;100)</formula>
    </cfRule>
  </conditionalFormatting>
  <conditionalFormatting sqref="O43">
    <cfRule type="expression" dxfId="0" priority="38">
      <formula>AND($O43&lt;&gt;"",$O43&lt;&gt;100)</formula>
    </cfRule>
  </conditionalFormatting>
  <conditionalFormatting sqref="O44">
    <cfRule type="expression" dxfId="0" priority="39">
      <formula>AND($O44&lt;&gt;"",$O44&lt;&gt;100)</formula>
    </cfRule>
  </conditionalFormatting>
  <conditionalFormatting sqref="O45">
    <cfRule type="expression" dxfId="0" priority="40">
      <formula>AND($O45&lt;&gt;"",$O45&lt;&gt;100)</formula>
    </cfRule>
  </conditionalFormatting>
  <conditionalFormatting sqref="O46">
    <cfRule type="expression" dxfId="0" priority="41">
      <formula>AND($O46&lt;&gt;"",$O46&lt;&gt;100)</formula>
    </cfRule>
  </conditionalFormatting>
  <conditionalFormatting sqref="O47">
    <cfRule type="expression" dxfId="0" priority="42">
      <formula>AND($O47&lt;&gt;"",$O47&lt;&gt;100)</formula>
    </cfRule>
  </conditionalFormatting>
  <conditionalFormatting sqref="O48">
    <cfRule type="expression" dxfId="0" priority="43">
      <formula>AND($O48&lt;&gt;"",$O48&lt;&gt;100)</formula>
    </cfRule>
  </conditionalFormatting>
  <conditionalFormatting sqref="O49">
    <cfRule type="expression" dxfId="0" priority="44">
      <formula>AND($O49&lt;&gt;"",$O49&lt;&gt;100)</formula>
    </cfRule>
  </conditionalFormatting>
  <conditionalFormatting sqref="O50">
    <cfRule type="expression" dxfId="0" priority="45">
      <formula>AND($O50&lt;&gt;"",$O50&lt;&gt;100)</formula>
    </cfRule>
  </conditionalFormatting>
  <conditionalFormatting sqref="O51">
    <cfRule type="expression" dxfId="0" priority="46">
      <formula>AND($O51&lt;&gt;"",$O51&lt;&gt;100)</formula>
    </cfRule>
  </conditionalFormatting>
  <conditionalFormatting sqref="O52">
    <cfRule type="expression" dxfId="0" priority="47">
      <formula>AND($O52&lt;&gt;"",$O52&lt;&gt;100)</formula>
    </cfRule>
  </conditionalFormatting>
  <conditionalFormatting sqref="O53">
    <cfRule type="expression" dxfId="0" priority="48">
      <formula>AND($O53&lt;&gt;"",$O53&lt;&gt;100)</formula>
    </cfRule>
  </conditionalFormatting>
  <conditionalFormatting sqref="O54">
    <cfRule type="expression" dxfId="0" priority="49">
      <formula>AND($O54&lt;&gt;"",$O54&lt;&gt;100)</formula>
    </cfRule>
  </conditionalFormatting>
  <conditionalFormatting sqref="O55">
    <cfRule type="expression" dxfId="0" priority="50">
      <formula>AND($O55&lt;&gt;"",$O55&lt;&gt;100)</formula>
    </cfRule>
  </conditionalFormatting>
  <conditionalFormatting sqref="O56">
    <cfRule type="expression" dxfId="0" priority="51">
      <formula>AND($O56&lt;&gt;"",$O56&lt;&gt;100)</formula>
    </cfRule>
  </conditionalFormatting>
  <conditionalFormatting sqref="O57">
    <cfRule type="expression" dxfId="0" priority="52">
      <formula>AND($O57&lt;&gt;"",$O57&lt;&gt;100)</formula>
    </cfRule>
  </conditionalFormatting>
  <conditionalFormatting sqref="O58">
    <cfRule type="expression" dxfId="0" priority="53">
      <formula>AND($O58&lt;&gt;"",$O58&lt;&gt;100)</formula>
    </cfRule>
  </conditionalFormatting>
  <conditionalFormatting sqref="O59">
    <cfRule type="expression" dxfId="0" priority="54">
      <formula>AND($O59&lt;&gt;"",$O59&lt;&gt;100)</formula>
    </cfRule>
  </conditionalFormatting>
  <conditionalFormatting sqref="O6">
    <cfRule type="expression" dxfId="0" priority="1">
      <formula>AND($O6&lt;&gt;"",$O6&lt;&gt;100)</formula>
    </cfRule>
  </conditionalFormatting>
  <conditionalFormatting sqref="O60">
    <cfRule type="expression" dxfId="0" priority="55">
      <formula>AND($O60&lt;&gt;"",$O60&lt;&gt;100)</formula>
    </cfRule>
  </conditionalFormatting>
  <conditionalFormatting sqref="O61">
    <cfRule type="expression" dxfId="0" priority="56">
      <formula>AND($O61&lt;&gt;"",$O61&lt;&gt;100)</formula>
    </cfRule>
  </conditionalFormatting>
  <conditionalFormatting sqref="O62">
    <cfRule type="expression" dxfId="0" priority="57">
      <formula>AND($O62&lt;&gt;"",$O62&lt;&gt;100)</formula>
    </cfRule>
  </conditionalFormatting>
  <conditionalFormatting sqref="O63">
    <cfRule type="expression" dxfId="0" priority="58">
      <formula>AND($O63&lt;&gt;"",$O63&lt;&gt;100)</formula>
    </cfRule>
  </conditionalFormatting>
  <conditionalFormatting sqref="O64">
    <cfRule type="expression" dxfId="0" priority="59">
      <formula>AND($O64&lt;&gt;"",$O64&lt;&gt;100)</formula>
    </cfRule>
  </conditionalFormatting>
  <conditionalFormatting sqref="O65">
    <cfRule type="expression" dxfId="0" priority="60">
      <formula>AND($O65&lt;&gt;"",$O65&lt;&gt;100)</formula>
    </cfRule>
  </conditionalFormatting>
  <conditionalFormatting sqref="O66">
    <cfRule type="expression" dxfId="0" priority="61">
      <formula>AND($O66&lt;&gt;"",$O66&lt;&gt;100)</formula>
    </cfRule>
  </conditionalFormatting>
  <conditionalFormatting sqref="O67">
    <cfRule type="expression" dxfId="0" priority="62">
      <formula>AND($O67&lt;&gt;"",$O67&lt;&gt;100)</formula>
    </cfRule>
  </conditionalFormatting>
  <conditionalFormatting sqref="O68">
    <cfRule type="expression" dxfId="0" priority="63">
      <formula>AND($O68&lt;&gt;"",$O68&lt;&gt;100)</formula>
    </cfRule>
  </conditionalFormatting>
  <conditionalFormatting sqref="O69">
    <cfRule type="expression" dxfId="0" priority="64">
      <formula>AND($O69&lt;&gt;"",$O69&lt;&gt;100)</formula>
    </cfRule>
  </conditionalFormatting>
  <conditionalFormatting sqref="O7">
    <cfRule type="expression" dxfId="0" priority="2">
      <formula>AND($O7&lt;&gt;"",$O7&lt;&gt;100)</formula>
    </cfRule>
  </conditionalFormatting>
  <conditionalFormatting sqref="O70">
    <cfRule type="expression" dxfId="0" priority="65">
      <formula>AND($O70&lt;&gt;"",$O70&lt;&gt;100)</formula>
    </cfRule>
  </conditionalFormatting>
  <conditionalFormatting sqref="O71">
    <cfRule type="expression" dxfId="0" priority="66">
      <formula>AND($O71&lt;&gt;"",$O71&lt;&gt;100)</formula>
    </cfRule>
  </conditionalFormatting>
  <conditionalFormatting sqref="O72">
    <cfRule type="expression" dxfId="0" priority="67">
      <formula>AND($O72&lt;&gt;"",$O72&lt;&gt;100)</formula>
    </cfRule>
  </conditionalFormatting>
  <conditionalFormatting sqref="O73">
    <cfRule type="expression" dxfId="0" priority="68">
      <formula>AND($O73&lt;&gt;"",$O73&lt;&gt;100)</formula>
    </cfRule>
  </conditionalFormatting>
  <conditionalFormatting sqref="O74">
    <cfRule type="expression" dxfId="0" priority="69">
      <formula>AND($O74&lt;&gt;"",$O74&lt;&gt;100)</formula>
    </cfRule>
  </conditionalFormatting>
  <conditionalFormatting sqref="O75">
    <cfRule type="expression" dxfId="0" priority="70">
      <formula>AND($O75&lt;&gt;"",$O75&lt;&gt;100)</formula>
    </cfRule>
  </conditionalFormatting>
  <conditionalFormatting sqref="O76">
    <cfRule type="expression" dxfId="0" priority="71">
      <formula>AND($O76&lt;&gt;"",$O76&lt;&gt;100)</formula>
    </cfRule>
  </conditionalFormatting>
  <conditionalFormatting sqref="O77">
    <cfRule type="expression" dxfId="0" priority="72">
      <formula>AND($O77&lt;&gt;"",$O77&lt;&gt;100)</formula>
    </cfRule>
  </conditionalFormatting>
  <conditionalFormatting sqref="O78">
    <cfRule type="expression" dxfId="0" priority="73">
      <formula>AND($O78&lt;&gt;"",$O78&lt;&gt;100)</formula>
    </cfRule>
  </conditionalFormatting>
  <conditionalFormatting sqref="O79">
    <cfRule type="expression" dxfId="0" priority="74">
      <formula>AND($O79&lt;&gt;"",$O79&lt;&gt;100)</formula>
    </cfRule>
  </conditionalFormatting>
  <conditionalFormatting sqref="O8">
    <cfRule type="expression" dxfId="0" priority="3">
      <formula>AND($O8&lt;&gt;"",$O8&lt;&gt;100)</formula>
    </cfRule>
  </conditionalFormatting>
  <conditionalFormatting sqref="O80">
    <cfRule type="expression" dxfId="0" priority="75">
      <formula>AND($O80&lt;&gt;"",$O80&lt;&gt;100)</formula>
    </cfRule>
  </conditionalFormatting>
  <conditionalFormatting sqref="O81">
    <cfRule type="expression" dxfId="0" priority="76">
      <formula>AND($O81&lt;&gt;"",$O81&lt;&gt;100)</formula>
    </cfRule>
  </conditionalFormatting>
  <conditionalFormatting sqref="O82">
    <cfRule type="expression" dxfId="0" priority="77">
      <formula>AND($O82&lt;&gt;"",$O82&lt;&gt;100)</formula>
    </cfRule>
  </conditionalFormatting>
  <conditionalFormatting sqref="O83">
    <cfRule type="expression" dxfId="0" priority="78">
      <formula>AND($O83&lt;&gt;"",$O83&lt;&gt;100)</formula>
    </cfRule>
  </conditionalFormatting>
  <conditionalFormatting sqref="O84">
    <cfRule type="expression" dxfId="0" priority="79">
      <formula>AND($O84&lt;&gt;"",$O84&lt;&gt;100)</formula>
    </cfRule>
  </conditionalFormatting>
  <conditionalFormatting sqref="O85">
    <cfRule type="expression" dxfId="0" priority="80">
      <formula>AND($O85&lt;&gt;"",$O85&lt;&gt;100)</formula>
    </cfRule>
  </conditionalFormatting>
  <conditionalFormatting sqref="O86">
    <cfRule type="expression" dxfId="0" priority="81">
      <formula>AND($O86&lt;&gt;"",$O86&lt;&gt;100)</formula>
    </cfRule>
  </conditionalFormatting>
  <conditionalFormatting sqref="O87">
    <cfRule type="expression" dxfId="0" priority="82">
      <formula>AND($O87&lt;&gt;"",$O87&lt;&gt;100)</formula>
    </cfRule>
  </conditionalFormatting>
  <conditionalFormatting sqref="O88">
    <cfRule type="expression" dxfId="0" priority="83">
      <formula>AND($O88&lt;&gt;"",$O88&lt;&gt;100)</formula>
    </cfRule>
  </conditionalFormatting>
  <conditionalFormatting sqref="O89">
    <cfRule type="expression" dxfId="0" priority="84">
      <formula>AND($O89&lt;&gt;"",$O89&lt;&gt;100)</formula>
    </cfRule>
  </conditionalFormatting>
  <conditionalFormatting sqref="O9">
    <cfRule type="expression" dxfId="0" priority="4">
      <formula>AND($O9&lt;&gt;"",$O9&lt;&gt;100)</formula>
    </cfRule>
  </conditionalFormatting>
  <conditionalFormatting sqref="O90">
    <cfRule type="expression" dxfId="0" priority="85">
      <formula>AND($O90&lt;&gt;"",$O90&lt;&gt;100)</formula>
    </cfRule>
  </conditionalFormatting>
  <conditionalFormatting sqref="O91">
    <cfRule type="expression" dxfId="0" priority="86">
      <formula>AND($O91&lt;&gt;"",$O91&lt;&gt;100)</formula>
    </cfRule>
  </conditionalFormatting>
  <conditionalFormatting sqref="O92">
    <cfRule type="expression" dxfId="0" priority="87">
      <formula>AND($O92&lt;&gt;"",$O92&lt;&gt;100)</formula>
    </cfRule>
  </conditionalFormatting>
  <conditionalFormatting sqref="O93">
    <cfRule type="expression" dxfId="0" priority="88">
      <formula>AND($O93&lt;&gt;"",$O93&lt;&gt;100)</formula>
    </cfRule>
  </conditionalFormatting>
  <conditionalFormatting sqref="O94">
    <cfRule type="expression" dxfId="0" priority="89">
      <formula>AND($O94&lt;&gt;"",$O94&lt;&gt;100)</formula>
    </cfRule>
  </conditionalFormatting>
  <conditionalFormatting sqref="O95">
    <cfRule type="expression" dxfId="0" priority="90">
      <formula>AND($O95&lt;&gt;"",$O95&lt;&gt;100)</formula>
    </cfRule>
  </conditionalFormatting>
  <conditionalFormatting sqref="O96">
    <cfRule type="expression" dxfId="0" priority="91">
      <formula>AND($O96&lt;&gt;"",$O96&lt;&gt;100)</formula>
    </cfRule>
  </conditionalFormatting>
  <conditionalFormatting sqref="O97">
    <cfRule type="expression" dxfId="0" priority="92">
      <formula>AND($O97&lt;&gt;"",$O97&lt;&gt;100)</formula>
    </cfRule>
  </conditionalFormatting>
  <conditionalFormatting sqref="O98">
    <cfRule type="expression" dxfId="0" priority="93">
      <formula>AND($O98&lt;&gt;"",$O98&lt;&gt;100)</formula>
    </cfRule>
  </conditionalFormatting>
  <conditionalFormatting sqref="O99">
    <cfRule type="expression" dxfId="0" priority="94">
      <formula>AND($O99&lt;&gt;"",$O99&lt;&gt;100)</formula>
    </cfRule>
  </conditionalFormatting>
  <conditionalFormatting sqref="P6:P105">
    <cfRule type="expression" dxfId="1" priority="108">
      <formula>AND($A6&lt;&gt;"",P6="")</formula>
    </cfRule>
  </conditionalFormatting>
  <conditionalFormatting sqref="Q6:Q105">
    <cfRule type="expression" dxfId="1" priority="109">
      <formula>AND($A6&lt;&gt;"",Q6="")</formula>
    </cfRule>
  </conditionalFormatting>
  <conditionalFormatting sqref="R6:R105">
    <cfRule type="expression" dxfId="1" priority="110">
      <formula>AND($A6&lt;&gt;"",R6="")</formula>
    </cfRule>
  </conditionalFormatting>
  <conditionalFormatting sqref="S6:S105">
    <cfRule type="expression" dxfId="1" priority="111">
      <formula>AND($A6&lt;&gt;"",S6="")</formula>
    </cfRule>
  </conditionalFormatting>
  <conditionalFormatting sqref="W6:W105">
    <cfRule type="expression" dxfId="0" priority="101">
      <formula>AND($A6&lt;&gt;"",$W6&lt;&gt;"",LEN($W6&amp;"")&lt;&gt;10)</formula>
    </cfRule>
    <cfRule type="expression" dxfId="1" priority="112">
      <formula>AND($A6&lt;&gt;"",W6="")</formula>
    </cfRule>
  </conditionalFormatting>
  <conditionalFormatting sqref="Y6:Y105">
    <cfRule type="expression" dxfId="1" priority="113">
      <formula>AND($A6&lt;&gt;"",Y6="")</formula>
    </cfRule>
  </conditionalFormatting>
  <conditionalFormatting sqref="Z6:Z105">
    <cfRule type="expression" dxfId="1" priority="114">
      <formula>AND($A6&lt;&gt;"",Z6="")</formula>
    </cfRule>
  </conditionalFormatting>
  <dataValidations count="9">
    <dataValidation type="decimal" allowBlank="1" showInputMessage="1" showErrorMessage="1" sqref="J6:J105">
      <formula1>0</formula1>
      <formula2>100</formula2>
    </dataValidation>
    <dataValidation type="decimal" allowBlank="1" showInputMessage="1" showErrorMessage="1" sqref="L6:L105">
      <formula1>0</formula1>
      <formula2>100</formula2>
    </dataValidation>
    <dataValidation type="decimal" allowBlank="1" showInputMessage="1" showErrorMessage="1" sqref="N6:N105">
      <formula1>0</formula1>
      <formula2>100</formula2>
    </dataValidation>
    <dataValidation type="list" allowBlank="1" showInputMessage="1" showErrorMessage="1" errorTitle="Chọn trong danh sách" error="Dùng một giá trị trong danh sách." promptTitle="Chọn trạng thái" prompt="Chọn theo kết quả kiểm tra thực tế." sqref="F6:F105">
      <formula1>"Nam,Nữ,Unisex theo hồ sơ,Cần xác định"</formula1>
    </dataValidation>
    <dataValidation type="list" allowBlank="1" showInputMessage="1" showErrorMessage="1" errorTitle="Chọn trong danh sách" error="Dùng một giá trị trong danh sách." promptTitle="Chọn trạng thái" prompt="Chọn theo kết quả kiểm tra thực tế." sqref="G6:G105">
      <formula1>"Người lớn,Trẻ em,Trẻ sơ sinh,Cần xác định"</formula1>
    </dataValidation>
    <dataValidation type="list" allowBlank="1" showInputMessage="1" showErrorMessage="1" errorTitle="Chọn trong danh sách" error="Dùng một giá trị trong danh sách." promptTitle="Chọn trạng thái" prompt="Chọn theo kết quả kiểm tra thực tế." sqref="H6:H105">
      <formula1>"Dệt kim / трикотаж,Dệt thoi / тканый,Loại khác,Cần xác định"</formula1>
    </dataValidation>
    <dataValidation type="list" allowBlank="1" showInputMessage="1" showErrorMessage="1" errorTitle="Chọn trong danh sách" error="Dùng một giá trị trong danh sách." promptTitle="Chọn trạng thái" prompt="Chọn theo kết quả kiểm tra thực tế." sqref="U6:U105">
      <formula1>"Một sản phẩm,Bộ nhiều phần"</formula1>
    </dataValidation>
    <dataValidation type="list" allowBlank="1" showInputMessage="1" showErrorMessage="1" errorTitle="Chọn trong danh sách" error="Dùng một giá trị trong danh sách." promptTitle="Chọn trạng thái" prompt="Chọn theo kết quả kiểm tra thực tế." sqref="AE6:AE105">
      <formula1>"Sản xuất tại Nga,Nhập khẩu,Mua hàng đã lưu thông,Sản xuất theo hợp đồng,Khác: ghi căn cứ"</formula1>
    </dataValidation>
    <dataValidation type="list" allowBlank="1" showInputMessage="1" showErrorMessage="1" errorTitle="Chọn trong danh sách" error="Dùng một giá trị trong danh sách." promptTitle="Chọn trạng thái" prompt="Chọn theo kết quả kiểm tra thực tế." sqref="AP6:AP105">
      <formula1>"Россия,Международный,Рост,Khác: ghi rõ ở ghi chú,Cần xác định"</formula1>
    </dataValidation>
  </dataValidations>
  <pageMargins left="0.3" right="0.3" top="0.4" bottom="0.4" header="0.3" footer="0.3"/>
  <pageSetup paperSize="9" fitToHeight="0" orientation="landscape"/>
  <headerFooter>
    <oddFooter>&amp;LWB • GTIN • TN VED | Mẫu nội bộ&amp;C06/10/2026&amp;RTrang &amp;P / &amp;N</oddFooter>
  </headerFooter>
  <legacyDrawing r:id="rId1"/>
</worksheet>
</file>

<file path=xl/worksheets/sheet3.xml><?xml version="1.0" encoding="utf-8"?>
<worksheet xmlns="http://schemas.openxmlformats.org/spreadsheetml/2006/main" xmlns:r="http://schemas.openxmlformats.org/officeDocument/2006/relationships">
  <sheetPr>
    <tabColor rgb="FF087E8B"/>
    <pageSetUpPr fitToPage="1"/>
  </sheetPr>
  <dimension ref="A1:AE1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0.7109375" customWidth="1"/>
    <col min="2" max="3" width="23.7109375" customWidth="1"/>
    <col min="4" max="7" width="26.7109375" customWidth="1"/>
    <col min="8" max="10" width="22.7109375" customWidth="1"/>
    <col min="11" max="11" width="27.7109375" customWidth="1"/>
    <col min="12" max="30" width="22.7109375" customWidth="1"/>
    <col min="31" max="31" width="55.7109375" customWidth="1"/>
  </cols>
  <sheetData>
    <row r="1" spans="1:31" ht="34" customHeight="1">
      <c r="A1" s="1" t="s">
        <v>94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25" customHeight="1">
      <c r="A2" s="2" t="s">
        <v>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2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5" spans="1:31" ht="62" customHeight="1">
      <c r="A5" s="6" t="s">
        <v>52</v>
      </c>
      <c r="B5" s="6" t="s">
        <v>96</v>
      </c>
      <c r="C5" s="6" t="s">
        <v>97</v>
      </c>
      <c r="D5" s="6" t="s">
        <v>98</v>
      </c>
      <c r="E5" s="6" t="s">
        <v>99</v>
      </c>
      <c r="F5" s="6" t="s">
        <v>100</v>
      </c>
      <c r="G5" s="6" t="s">
        <v>101</v>
      </c>
      <c r="H5" s="6" t="s">
        <v>102</v>
      </c>
      <c r="I5" s="6" t="s">
        <v>103</v>
      </c>
      <c r="J5" s="6" t="s">
        <v>104</v>
      </c>
      <c r="K5" s="6" t="s">
        <v>105</v>
      </c>
      <c r="L5" s="6" t="s">
        <v>106</v>
      </c>
      <c r="M5" s="6" t="s">
        <v>107</v>
      </c>
      <c r="N5" s="6" t="s">
        <v>108</v>
      </c>
      <c r="O5" s="6" t="s">
        <v>109</v>
      </c>
      <c r="P5" s="6" t="s">
        <v>110</v>
      </c>
      <c r="Q5" s="6" t="s">
        <v>111</v>
      </c>
      <c r="R5" s="6" t="s">
        <v>112</v>
      </c>
      <c r="S5" s="6" t="s">
        <v>113</v>
      </c>
      <c r="T5" s="6" t="s">
        <v>114</v>
      </c>
      <c r="U5" s="6" t="s">
        <v>115</v>
      </c>
      <c r="V5" s="6" t="s">
        <v>116</v>
      </c>
      <c r="W5" s="6" t="s">
        <v>117</v>
      </c>
      <c r="X5" s="6" t="s">
        <v>118</v>
      </c>
      <c r="Y5" s="6" t="s">
        <v>119</v>
      </c>
      <c r="Z5" s="6" t="s">
        <v>120</v>
      </c>
      <c r="AA5" s="6" t="s">
        <v>121</v>
      </c>
      <c r="AB5" s="6" t="s">
        <v>122</v>
      </c>
      <c r="AC5" s="6" t="s">
        <v>123</v>
      </c>
      <c r="AD5" s="6" t="s">
        <v>124</v>
      </c>
      <c r="AE5" s="6" t="s">
        <v>125</v>
      </c>
    </row>
    <row r="6" spans="1:31" ht="32" customHeight="1">
      <c r="A6" s="7"/>
      <c r="B6" s="7"/>
      <c r="C6" s="7"/>
      <c r="D6" s="7"/>
      <c r="E6" s="9">
        <f>IF(B6="","",IF(AND(OR(LEN(B6&amp;"")=13,LEN(B6&amp;"")=14),SUMPRODUCT(--ISNUMBER(FIND(MID(B6&amp;"",ROW($1:$14),1),"0123456789")),--(ROW($1:$14)&lt;=LEN(B6&amp;"")))=LEN(B6&amp;"")),IF(LEN(B6&amp;"")=13,"0"&amp;B6,B6&amp;""),"KIỂM TRA ĐỊNH DẠNG"))</f>
        <v/>
      </c>
      <c r="F6" s="9">
        <f>IF(C6="","",IF(AND(OR(LEN(C6&amp;"")=13,LEN(C6&amp;"")=14),SUMPRODUCT(--ISNUMBER(FIND(MID(C6&amp;"",ROW($1:$14),1),"0123456789")),--(ROW($1:$14)&lt;=LEN(C6&amp;"")))=LEN(C6&amp;"")),IF(LEN(C6&amp;"")=13,"0"&amp;C6,C6&amp;""),"KIỂM TRA ĐỊNH DẠNG"))</f>
        <v/>
      </c>
      <c r="G6" s="9">
        <f>IF(COUNTA(B6:D6)=0,"",IF(COUNTA(B6:D6)&lt;3,"THIẾU DỮ LIỆU",IF(OR(E6="KIỂM TRA ĐỊNH DẠNG",F6="KIỂM TRA ĐỊNH DẠNG",LEN(D6&amp;"")&lt;&gt;14),"KIỂM TRA ĐỊNH DẠNG",IF(AND(E6=F6,E6=D6&amp;""),"TRÙNG SỐ","LỆCH SỐ"))))</f>
        <v/>
      </c>
      <c r="H6" s="7"/>
      <c r="I6" s="7"/>
      <c r="J6" s="7"/>
      <c r="K6" s="9">
        <f>IF(COUNTA(H6:J6)=0,"",IF(COUNTA(H6:J6)&lt;3,"THIẾU DỮ LIỆU",IF(NOT(AND(AND(LEN(H6&amp;"")=10,SUMPRODUCT(--ISNUMBER(FIND(MID(H6&amp;"",ROW($1:$10),1),"0123456789")))=10),AND(LEN(I6&amp;"")=10,SUMPRODUCT(--ISNUMBER(FIND(MID(I6&amp;"",ROW($1:$10),1),"0123456789")))=10),AND(LEN(J6&amp;"")=10,SUMPRODUCT(--ISNUMBER(FIND(MID(J6&amp;"",ROW($1:$10),1),"0123456789")))=10))),"KIỂM TRA 10 CHỮ SỐ",IF(AND(H6&amp;""=I6&amp;"",H6&amp;""=J6&amp;""),"TRÙNG SỐ","LỆCH MÃ"))))</f>
        <v/>
      </c>
      <c r="L6" s="7"/>
      <c r="M6" s="7"/>
      <c r="N6" s="7"/>
      <c r="O6" s="7"/>
      <c r="P6" s="7"/>
      <c r="Q6" s="7"/>
      <c r="R6" s="7"/>
      <c r="S6" s="7"/>
      <c r="T6" s="7"/>
      <c r="U6" s="7"/>
      <c r="V6" s="7"/>
      <c r="W6" s="7"/>
      <c r="X6" s="7"/>
      <c r="Y6" s="7"/>
      <c r="Z6" s="7"/>
      <c r="AA6" s="7"/>
      <c r="AB6" s="9">
        <f>IF(A6="","",IF(SUMPRODUCT(--EXACT($A$6:$A$105,A6))&gt;1,"TRÙNG SKU: XEM LẠI",""))</f>
        <v/>
      </c>
      <c r="AC6" s="10"/>
      <c r="AD6" s="7"/>
      <c r="AE6" s="7"/>
    </row>
    <row r="7" spans="1:31" ht="32" customHeight="1">
      <c r="A7" s="7"/>
      <c r="B7" s="7"/>
      <c r="C7" s="7"/>
      <c r="D7" s="7"/>
      <c r="E7" s="9">
        <f>IF(B7="","",IF(AND(OR(LEN(B7&amp;"")=13,LEN(B7&amp;"")=14),SUMPRODUCT(--ISNUMBER(FIND(MID(B7&amp;"",ROW($1:$14),1),"0123456789")),--(ROW($1:$14)&lt;=LEN(B7&amp;"")))=LEN(B7&amp;"")),IF(LEN(B7&amp;"")=13,"0"&amp;B7,B7&amp;""),"KIỂM TRA ĐỊNH DẠNG"))</f>
        <v/>
      </c>
      <c r="F7" s="9">
        <f>IF(C7="","",IF(AND(OR(LEN(C7&amp;"")=13,LEN(C7&amp;"")=14),SUMPRODUCT(--ISNUMBER(FIND(MID(C7&amp;"",ROW($1:$14),1),"0123456789")),--(ROW($1:$14)&lt;=LEN(C7&amp;"")))=LEN(C7&amp;"")),IF(LEN(C7&amp;"")=13,"0"&amp;C7,C7&amp;""),"KIỂM TRA ĐỊNH DẠNG"))</f>
        <v/>
      </c>
      <c r="G7" s="9">
        <f>IF(COUNTA(B7:D7)=0,"",IF(COUNTA(B7:D7)&lt;3,"THIẾU DỮ LIỆU",IF(OR(E7="KIỂM TRA ĐỊNH DẠNG",F7="KIỂM TRA ĐỊNH DẠNG",LEN(D7&amp;"")&lt;&gt;14),"KIỂM TRA ĐỊNH DẠNG",IF(AND(E7=F7,E7=D7&amp;""),"TRÙNG SỐ","LỆCH SỐ"))))</f>
        <v/>
      </c>
      <c r="H7" s="7"/>
      <c r="I7" s="7"/>
      <c r="J7" s="7"/>
      <c r="K7" s="9">
        <f>IF(COUNTA(H7:J7)=0,"",IF(COUNTA(H7:J7)&lt;3,"THIẾU DỮ LIỆU",IF(NOT(AND(AND(LEN(H7&amp;"")=10,SUMPRODUCT(--ISNUMBER(FIND(MID(H7&amp;"",ROW($1:$10),1),"0123456789")))=10),AND(LEN(I7&amp;"")=10,SUMPRODUCT(--ISNUMBER(FIND(MID(I7&amp;"",ROW($1:$10),1),"0123456789")))=10),AND(LEN(J7&amp;"")=10,SUMPRODUCT(--ISNUMBER(FIND(MID(J7&amp;"",ROW($1:$10),1),"0123456789")))=10))),"KIỂM TRA 10 CHỮ SỐ",IF(AND(H7&amp;""=I7&amp;"",H7&amp;""=J7&amp;""),"TRÙNG SỐ","LỆCH MÃ"))))</f>
        <v/>
      </c>
      <c r="L7" s="7"/>
      <c r="M7" s="7"/>
      <c r="N7" s="7"/>
      <c r="O7" s="7"/>
      <c r="P7" s="7"/>
      <c r="Q7" s="7"/>
      <c r="R7" s="7"/>
      <c r="S7" s="7"/>
      <c r="T7" s="7"/>
      <c r="U7" s="7"/>
      <c r="V7" s="7"/>
      <c r="W7" s="7"/>
      <c r="X7" s="7"/>
      <c r="Y7" s="7"/>
      <c r="Z7" s="7"/>
      <c r="AA7" s="7"/>
      <c r="AB7" s="9">
        <f>IF(A7="","",IF(SUMPRODUCT(--EXACT($A$6:$A$105,A7))&gt;1,"TRÙNG SKU: XEM LẠI",""))</f>
        <v/>
      </c>
      <c r="AC7" s="10"/>
      <c r="AD7" s="7"/>
      <c r="AE7" s="7"/>
    </row>
    <row r="8" spans="1:31" ht="32" customHeight="1">
      <c r="A8" s="7"/>
      <c r="B8" s="7"/>
      <c r="C8" s="7"/>
      <c r="D8" s="7"/>
      <c r="E8" s="9">
        <f>IF(B8="","",IF(AND(OR(LEN(B8&amp;"")=13,LEN(B8&amp;"")=14),SUMPRODUCT(--ISNUMBER(FIND(MID(B8&amp;"",ROW($1:$14),1),"0123456789")),--(ROW($1:$14)&lt;=LEN(B8&amp;"")))=LEN(B8&amp;"")),IF(LEN(B8&amp;"")=13,"0"&amp;B8,B8&amp;""),"KIỂM TRA ĐỊNH DẠNG"))</f>
        <v/>
      </c>
      <c r="F8" s="9">
        <f>IF(C8="","",IF(AND(OR(LEN(C8&amp;"")=13,LEN(C8&amp;"")=14),SUMPRODUCT(--ISNUMBER(FIND(MID(C8&amp;"",ROW($1:$14),1),"0123456789")),--(ROW($1:$14)&lt;=LEN(C8&amp;"")))=LEN(C8&amp;"")),IF(LEN(C8&amp;"")=13,"0"&amp;C8,C8&amp;""),"KIỂM TRA ĐỊNH DẠNG"))</f>
        <v/>
      </c>
      <c r="G8" s="9">
        <f>IF(COUNTA(B8:D8)=0,"",IF(COUNTA(B8:D8)&lt;3,"THIẾU DỮ LIỆU",IF(OR(E8="KIỂM TRA ĐỊNH DẠNG",F8="KIỂM TRA ĐỊNH DẠNG",LEN(D8&amp;"")&lt;&gt;14),"KIỂM TRA ĐỊNH DẠNG",IF(AND(E8=F8,E8=D8&amp;""),"TRÙNG SỐ","LỆCH SỐ"))))</f>
        <v/>
      </c>
      <c r="H8" s="7"/>
      <c r="I8" s="7"/>
      <c r="J8" s="7"/>
      <c r="K8" s="9">
        <f>IF(COUNTA(H8:J8)=0,"",IF(COUNTA(H8:J8)&lt;3,"THIẾU DỮ LIỆU",IF(NOT(AND(AND(LEN(H8&amp;"")=10,SUMPRODUCT(--ISNUMBER(FIND(MID(H8&amp;"",ROW($1:$10),1),"0123456789")))=10),AND(LEN(I8&amp;"")=10,SUMPRODUCT(--ISNUMBER(FIND(MID(I8&amp;"",ROW($1:$10),1),"0123456789")))=10),AND(LEN(J8&amp;"")=10,SUMPRODUCT(--ISNUMBER(FIND(MID(J8&amp;"",ROW($1:$10),1),"0123456789")))=10))),"KIỂM TRA 10 CHỮ SỐ",IF(AND(H8&amp;""=I8&amp;"",H8&amp;""=J8&amp;""),"TRÙNG SỐ","LỆCH MÃ"))))</f>
        <v/>
      </c>
      <c r="L8" s="7"/>
      <c r="M8" s="7"/>
      <c r="N8" s="7"/>
      <c r="O8" s="7"/>
      <c r="P8" s="7"/>
      <c r="Q8" s="7"/>
      <c r="R8" s="7"/>
      <c r="S8" s="7"/>
      <c r="T8" s="7"/>
      <c r="U8" s="7"/>
      <c r="V8" s="7"/>
      <c r="W8" s="7"/>
      <c r="X8" s="7"/>
      <c r="Y8" s="7"/>
      <c r="Z8" s="7"/>
      <c r="AA8" s="7"/>
      <c r="AB8" s="9">
        <f>IF(A8="","",IF(SUMPRODUCT(--EXACT($A$6:$A$105,A8))&gt;1,"TRÙNG SKU: XEM LẠI",""))</f>
        <v/>
      </c>
      <c r="AC8" s="10"/>
      <c r="AD8" s="7"/>
      <c r="AE8" s="7"/>
    </row>
    <row r="9" spans="1:31" ht="32" customHeight="1">
      <c r="A9" s="7"/>
      <c r="B9" s="7"/>
      <c r="C9" s="7"/>
      <c r="D9" s="7"/>
      <c r="E9" s="9">
        <f>IF(B9="","",IF(AND(OR(LEN(B9&amp;"")=13,LEN(B9&amp;"")=14),SUMPRODUCT(--ISNUMBER(FIND(MID(B9&amp;"",ROW($1:$14),1),"0123456789")),--(ROW($1:$14)&lt;=LEN(B9&amp;"")))=LEN(B9&amp;"")),IF(LEN(B9&amp;"")=13,"0"&amp;B9,B9&amp;""),"KIỂM TRA ĐỊNH DẠNG"))</f>
        <v/>
      </c>
      <c r="F9" s="9">
        <f>IF(C9="","",IF(AND(OR(LEN(C9&amp;"")=13,LEN(C9&amp;"")=14),SUMPRODUCT(--ISNUMBER(FIND(MID(C9&amp;"",ROW($1:$14),1),"0123456789")),--(ROW($1:$14)&lt;=LEN(C9&amp;"")))=LEN(C9&amp;"")),IF(LEN(C9&amp;"")=13,"0"&amp;C9,C9&amp;""),"KIỂM TRA ĐỊNH DẠNG"))</f>
        <v/>
      </c>
      <c r="G9" s="9">
        <f>IF(COUNTA(B9:D9)=0,"",IF(COUNTA(B9:D9)&lt;3,"THIẾU DỮ LIỆU",IF(OR(E9="KIỂM TRA ĐỊNH DẠNG",F9="KIỂM TRA ĐỊNH DẠNG",LEN(D9&amp;"")&lt;&gt;14),"KIỂM TRA ĐỊNH DẠNG",IF(AND(E9=F9,E9=D9&amp;""),"TRÙNG SỐ","LỆCH SỐ"))))</f>
        <v/>
      </c>
      <c r="H9" s="7"/>
      <c r="I9" s="7"/>
      <c r="J9" s="7"/>
      <c r="K9" s="9">
        <f>IF(COUNTA(H9:J9)=0,"",IF(COUNTA(H9:J9)&lt;3,"THIẾU DỮ LIỆU",IF(NOT(AND(AND(LEN(H9&amp;"")=10,SUMPRODUCT(--ISNUMBER(FIND(MID(H9&amp;"",ROW($1:$10),1),"0123456789")))=10),AND(LEN(I9&amp;"")=10,SUMPRODUCT(--ISNUMBER(FIND(MID(I9&amp;"",ROW($1:$10),1),"0123456789")))=10),AND(LEN(J9&amp;"")=10,SUMPRODUCT(--ISNUMBER(FIND(MID(J9&amp;"",ROW($1:$10),1),"0123456789")))=10))),"KIỂM TRA 10 CHỮ SỐ",IF(AND(H9&amp;""=I9&amp;"",H9&amp;""=J9&amp;""),"TRÙNG SỐ","LỆCH MÃ"))))</f>
        <v/>
      </c>
      <c r="L9" s="7"/>
      <c r="M9" s="7"/>
      <c r="N9" s="7"/>
      <c r="O9" s="7"/>
      <c r="P9" s="7"/>
      <c r="Q9" s="7"/>
      <c r="R9" s="7"/>
      <c r="S9" s="7"/>
      <c r="T9" s="7"/>
      <c r="U9" s="7"/>
      <c r="V9" s="7"/>
      <c r="W9" s="7"/>
      <c r="X9" s="7"/>
      <c r="Y9" s="7"/>
      <c r="Z9" s="7"/>
      <c r="AA9" s="7"/>
      <c r="AB9" s="9">
        <f>IF(A9="","",IF(SUMPRODUCT(--EXACT($A$6:$A$105,A9))&gt;1,"TRÙNG SKU: XEM LẠI",""))</f>
        <v/>
      </c>
      <c r="AC9" s="10"/>
      <c r="AD9" s="7"/>
      <c r="AE9" s="7"/>
    </row>
    <row r="10" spans="1:31" ht="32" customHeight="1">
      <c r="A10" s="7"/>
      <c r="B10" s="7"/>
      <c r="C10" s="7"/>
      <c r="D10" s="7"/>
      <c r="E10" s="9">
        <f>IF(B10="","",IF(AND(OR(LEN(B10&amp;"")=13,LEN(B10&amp;"")=14),SUMPRODUCT(--ISNUMBER(FIND(MID(B10&amp;"",ROW($1:$14),1),"0123456789")),--(ROW($1:$14)&lt;=LEN(B10&amp;"")))=LEN(B10&amp;"")),IF(LEN(B10&amp;"")=13,"0"&amp;B10,B10&amp;""),"KIỂM TRA ĐỊNH DẠNG"))</f>
        <v/>
      </c>
      <c r="F10" s="9">
        <f>IF(C10="","",IF(AND(OR(LEN(C10&amp;"")=13,LEN(C10&amp;"")=14),SUMPRODUCT(--ISNUMBER(FIND(MID(C10&amp;"",ROW($1:$14),1),"0123456789")),--(ROW($1:$14)&lt;=LEN(C10&amp;"")))=LEN(C10&amp;"")),IF(LEN(C10&amp;"")=13,"0"&amp;C10,C10&amp;""),"KIỂM TRA ĐỊNH DẠNG"))</f>
        <v/>
      </c>
      <c r="G10" s="9">
        <f>IF(COUNTA(B10:D10)=0,"",IF(COUNTA(B10:D10)&lt;3,"THIẾU DỮ LIỆU",IF(OR(E10="KIỂM TRA ĐỊNH DẠNG",F10="KIỂM TRA ĐỊNH DẠNG",LEN(D10&amp;"")&lt;&gt;14),"KIỂM TRA ĐỊNH DẠNG",IF(AND(E10=F10,E10=D10&amp;""),"TRÙNG SỐ","LỆCH SỐ"))))</f>
        <v/>
      </c>
      <c r="H10" s="7"/>
      <c r="I10" s="7"/>
      <c r="J10" s="7"/>
      <c r="K10" s="9">
        <f>IF(COUNTA(H10:J10)=0,"",IF(COUNTA(H10:J10)&lt;3,"THIẾU DỮ LIỆU",IF(NOT(AND(AND(LEN(H10&amp;"")=10,SUMPRODUCT(--ISNUMBER(FIND(MID(H10&amp;"",ROW($1:$10),1),"0123456789")))=10),AND(LEN(I10&amp;"")=10,SUMPRODUCT(--ISNUMBER(FIND(MID(I10&amp;"",ROW($1:$10),1),"0123456789")))=10),AND(LEN(J10&amp;"")=10,SUMPRODUCT(--ISNUMBER(FIND(MID(J10&amp;"",ROW($1:$10),1),"0123456789")))=10))),"KIỂM TRA 10 CHỮ SỐ",IF(AND(H10&amp;""=I10&amp;"",H10&amp;""=J10&amp;""),"TRÙNG SỐ","LỆCH MÃ"))))</f>
        <v/>
      </c>
      <c r="L10" s="7"/>
      <c r="M10" s="7"/>
      <c r="N10" s="7"/>
      <c r="O10" s="7"/>
      <c r="P10" s="7"/>
      <c r="Q10" s="7"/>
      <c r="R10" s="7"/>
      <c r="S10" s="7"/>
      <c r="T10" s="7"/>
      <c r="U10" s="7"/>
      <c r="V10" s="7"/>
      <c r="W10" s="7"/>
      <c r="X10" s="7"/>
      <c r="Y10" s="7"/>
      <c r="Z10" s="7"/>
      <c r="AA10" s="7"/>
      <c r="AB10" s="9">
        <f>IF(A10="","",IF(SUMPRODUCT(--EXACT($A$6:$A$105,A10))&gt;1,"TRÙNG SKU: XEM LẠI",""))</f>
        <v/>
      </c>
      <c r="AC10" s="10"/>
      <c r="AD10" s="7"/>
      <c r="AE10" s="7"/>
    </row>
    <row r="11" spans="1:31" ht="32" customHeight="1">
      <c r="A11" s="7"/>
      <c r="B11" s="7"/>
      <c r="C11" s="7"/>
      <c r="D11" s="7"/>
      <c r="E11" s="9">
        <f>IF(B11="","",IF(AND(OR(LEN(B11&amp;"")=13,LEN(B11&amp;"")=14),SUMPRODUCT(--ISNUMBER(FIND(MID(B11&amp;"",ROW($1:$14),1),"0123456789")),--(ROW($1:$14)&lt;=LEN(B11&amp;"")))=LEN(B11&amp;"")),IF(LEN(B11&amp;"")=13,"0"&amp;B11,B11&amp;""),"KIỂM TRA ĐỊNH DẠNG"))</f>
        <v/>
      </c>
      <c r="F11" s="9">
        <f>IF(C11="","",IF(AND(OR(LEN(C11&amp;"")=13,LEN(C11&amp;"")=14),SUMPRODUCT(--ISNUMBER(FIND(MID(C11&amp;"",ROW($1:$14),1),"0123456789")),--(ROW($1:$14)&lt;=LEN(C11&amp;"")))=LEN(C11&amp;"")),IF(LEN(C11&amp;"")=13,"0"&amp;C11,C11&amp;""),"KIỂM TRA ĐỊNH DẠNG"))</f>
        <v/>
      </c>
      <c r="G11" s="9">
        <f>IF(COUNTA(B11:D11)=0,"",IF(COUNTA(B11:D11)&lt;3,"THIẾU DỮ LIỆU",IF(OR(E11="KIỂM TRA ĐỊNH DẠNG",F11="KIỂM TRA ĐỊNH DẠNG",LEN(D11&amp;"")&lt;&gt;14),"KIỂM TRA ĐỊNH DẠNG",IF(AND(E11=F11,E11=D11&amp;""),"TRÙNG SỐ","LỆCH SỐ"))))</f>
        <v/>
      </c>
      <c r="H11" s="7"/>
      <c r="I11" s="7"/>
      <c r="J11" s="7"/>
      <c r="K11" s="9">
        <f>IF(COUNTA(H11:J11)=0,"",IF(COUNTA(H11:J11)&lt;3,"THIẾU DỮ LIỆU",IF(NOT(AND(AND(LEN(H11&amp;"")=10,SUMPRODUCT(--ISNUMBER(FIND(MID(H11&amp;"",ROW($1:$10),1),"0123456789")))=10),AND(LEN(I11&amp;"")=10,SUMPRODUCT(--ISNUMBER(FIND(MID(I11&amp;"",ROW($1:$10),1),"0123456789")))=10),AND(LEN(J11&amp;"")=10,SUMPRODUCT(--ISNUMBER(FIND(MID(J11&amp;"",ROW($1:$10),1),"0123456789")))=10))),"KIỂM TRA 10 CHỮ SỐ",IF(AND(H11&amp;""=I11&amp;"",H11&amp;""=J11&amp;""),"TRÙNG SỐ","LỆCH MÃ"))))</f>
        <v/>
      </c>
      <c r="L11" s="7"/>
      <c r="M11" s="7"/>
      <c r="N11" s="7"/>
      <c r="O11" s="7"/>
      <c r="P11" s="7"/>
      <c r="Q11" s="7"/>
      <c r="R11" s="7"/>
      <c r="S11" s="7"/>
      <c r="T11" s="7"/>
      <c r="U11" s="7"/>
      <c r="V11" s="7"/>
      <c r="W11" s="7"/>
      <c r="X11" s="7"/>
      <c r="Y11" s="7"/>
      <c r="Z11" s="7"/>
      <c r="AA11" s="7"/>
      <c r="AB11" s="9">
        <f>IF(A11="","",IF(SUMPRODUCT(--EXACT($A$6:$A$105,A11))&gt;1,"TRÙNG SKU: XEM LẠI",""))</f>
        <v/>
      </c>
      <c r="AC11" s="10"/>
      <c r="AD11" s="7"/>
      <c r="AE11" s="7"/>
    </row>
    <row r="12" spans="1:31" ht="32" customHeight="1">
      <c r="A12" s="7"/>
      <c r="B12" s="7"/>
      <c r="C12" s="7"/>
      <c r="D12" s="7"/>
      <c r="E12" s="9">
        <f>IF(B12="","",IF(AND(OR(LEN(B12&amp;"")=13,LEN(B12&amp;"")=14),SUMPRODUCT(--ISNUMBER(FIND(MID(B12&amp;"",ROW($1:$14),1),"0123456789")),--(ROW($1:$14)&lt;=LEN(B12&amp;"")))=LEN(B12&amp;"")),IF(LEN(B12&amp;"")=13,"0"&amp;B12,B12&amp;""),"KIỂM TRA ĐỊNH DẠNG"))</f>
        <v/>
      </c>
      <c r="F12" s="9">
        <f>IF(C12="","",IF(AND(OR(LEN(C12&amp;"")=13,LEN(C12&amp;"")=14),SUMPRODUCT(--ISNUMBER(FIND(MID(C12&amp;"",ROW($1:$14),1),"0123456789")),--(ROW($1:$14)&lt;=LEN(C12&amp;"")))=LEN(C12&amp;"")),IF(LEN(C12&amp;"")=13,"0"&amp;C12,C12&amp;""),"KIỂM TRA ĐỊNH DẠNG"))</f>
        <v/>
      </c>
      <c r="G12" s="9">
        <f>IF(COUNTA(B12:D12)=0,"",IF(COUNTA(B12:D12)&lt;3,"THIẾU DỮ LIỆU",IF(OR(E12="KIỂM TRA ĐỊNH DẠNG",F12="KIỂM TRA ĐỊNH DẠNG",LEN(D12&amp;"")&lt;&gt;14),"KIỂM TRA ĐỊNH DẠNG",IF(AND(E12=F12,E12=D12&amp;""),"TRÙNG SỐ","LỆCH SỐ"))))</f>
        <v/>
      </c>
      <c r="H12" s="7"/>
      <c r="I12" s="7"/>
      <c r="J12" s="7"/>
      <c r="K12" s="9">
        <f>IF(COUNTA(H12:J12)=0,"",IF(COUNTA(H12:J12)&lt;3,"THIẾU DỮ LIỆU",IF(NOT(AND(AND(LEN(H12&amp;"")=10,SUMPRODUCT(--ISNUMBER(FIND(MID(H12&amp;"",ROW($1:$10),1),"0123456789")))=10),AND(LEN(I12&amp;"")=10,SUMPRODUCT(--ISNUMBER(FIND(MID(I12&amp;"",ROW($1:$10),1),"0123456789")))=10),AND(LEN(J12&amp;"")=10,SUMPRODUCT(--ISNUMBER(FIND(MID(J12&amp;"",ROW($1:$10),1),"0123456789")))=10))),"KIỂM TRA 10 CHỮ SỐ",IF(AND(H12&amp;""=I12&amp;"",H12&amp;""=J12&amp;""),"TRÙNG SỐ","LỆCH MÃ"))))</f>
        <v/>
      </c>
      <c r="L12" s="7"/>
      <c r="M12" s="7"/>
      <c r="N12" s="7"/>
      <c r="O12" s="7"/>
      <c r="P12" s="7"/>
      <c r="Q12" s="7"/>
      <c r="R12" s="7"/>
      <c r="S12" s="7"/>
      <c r="T12" s="7"/>
      <c r="U12" s="7"/>
      <c r="V12" s="7"/>
      <c r="W12" s="7"/>
      <c r="X12" s="7"/>
      <c r="Y12" s="7"/>
      <c r="Z12" s="7"/>
      <c r="AA12" s="7"/>
      <c r="AB12" s="9">
        <f>IF(A12="","",IF(SUMPRODUCT(--EXACT($A$6:$A$105,A12))&gt;1,"TRÙNG SKU: XEM LẠI",""))</f>
        <v/>
      </c>
      <c r="AC12" s="10"/>
      <c r="AD12" s="7"/>
      <c r="AE12" s="7"/>
    </row>
    <row r="13" spans="1:31" ht="32" customHeight="1">
      <c r="A13" s="7"/>
      <c r="B13" s="7"/>
      <c r="C13" s="7"/>
      <c r="D13" s="7"/>
      <c r="E13" s="9">
        <f>IF(B13="","",IF(AND(OR(LEN(B13&amp;"")=13,LEN(B13&amp;"")=14),SUMPRODUCT(--ISNUMBER(FIND(MID(B13&amp;"",ROW($1:$14),1),"0123456789")),--(ROW($1:$14)&lt;=LEN(B13&amp;"")))=LEN(B13&amp;"")),IF(LEN(B13&amp;"")=13,"0"&amp;B13,B13&amp;""),"KIỂM TRA ĐỊNH DẠNG"))</f>
        <v/>
      </c>
      <c r="F13" s="9">
        <f>IF(C13="","",IF(AND(OR(LEN(C13&amp;"")=13,LEN(C13&amp;"")=14),SUMPRODUCT(--ISNUMBER(FIND(MID(C13&amp;"",ROW($1:$14),1),"0123456789")),--(ROW($1:$14)&lt;=LEN(C13&amp;"")))=LEN(C13&amp;"")),IF(LEN(C13&amp;"")=13,"0"&amp;C13,C13&amp;""),"KIỂM TRA ĐỊNH DẠNG"))</f>
        <v/>
      </c>
      <c r="G13" s="9">
        <f>IF(COUNTA(B13:D13)=0,"",IF(COUNTA(B13:D13)&lt;3,"THIẾU DỮ LIỆU",IF(OR(E13="KIỂM TRA ĐỊNH DẠNG",F13="KIỂM TRA ĐỊNH DẠNG",LEN(D13&amp;"")&lt;&gt;14),"KIỂM TRA ĐỊNH DẠNG",IF(AND(E13=F13,E13=D13&amp;""),"TRÙNG SỐ","LỆCH SỐ"))))</f>
        <v/>
      </c>
      <c r="H13" s="7"/>
      <c r="I13" s="7"/>
      <c r="J13" s="7"/>
      <c r="K13" s="9">
        <f>IF(COUNTA(H13:J13)=0,"",IF(COUNTA(H13:J13)&lt;3,"THIẾU DỮ LIỆU",IF(NOT(AND(AND(LEN(H13&amp;"")=10,SUMPRODUCT(--ISNUMBER(FIND(MID(H13&amp;"",ROW($1:$10),1),"0123456789")))=10),AND(LEN(I13&amp;"")=10,SUMPRODUCT(--ISNUMBER(FIND(MID(I13&amp;"",ROW($1:$10),1),"0123456789")))=10),AND(LEN(J13&amp;"")=10,SUMPRODUCT(--ISNUMBER(FIND(MID(J13&amp;"",ROW($1:$10),1),"0123456789")))=10))),"KIỂM TRA 10 CHỮ SỐ",IF(AND(H13&amp;""=I13&amp;"",H13&amp;""=J13&amp;""),"TRÙNG SỐ","LỆCH MÃ"))))</f>
        <v/>
      </c>
      <c r="L13" s="7"/>
      <c r="M13" s="7"/>
      <c r="N13" s="7"/>
      <c r="O13" s="7"/>
      <c r="P13" s="7"/>
      <c r="Q13" s="7"/>
      <c r="R13" s="7"/>
      <c r="S13" s="7"/>
      <c r="T13" s="7"/>
      <c r="U13" s="7"/>
      <c r="V13" s="7"/>
      <c r="W13" s="7"/>
      <c r="X13" s="7"/>
      <c r="Y13" s="7"/>
      <c r="Z13" s="7"/>
      <c r="AA13" s="7"/>
      <c r="AB13" s="9">
        <f>IF(A13="","",IF(SUMPRODUCT(--EXACT($A$6:$A$105,A13))&gt;1,"TRÙNG SKU: XEM LẠI",""))</f>
        <v/>
      </c>
      <c r="AC13" s="10"/>
      <c r="AD13" s="7"/>
      <c r="AE13" s="7"/>
    </row>
    <row r="14" spans="1:31" ht="32" customHeight="1">
      <c r="A14" s="7"/>
      <c r="B14" s="7"/>
      <c r="C14" s="7"/>
      <c r="D14" s="7"/>
      <c r="E14" s="9">
        <f>IF(B14="","",IF(AND(OR(LEN(B14&amp;"")=13,LEN(B14&amp;"")=14),SUMPRODUCT(--ISNUMBER(FIND(MID(B14&amp;"",ROW($1:$14),1),"0123456789")),--(ROW($1:$14)&lt;=LEN(B14&amp;"")))=LEN(B14&amp;"")),IF(LEN(B14&amp;"")=13,"0"&amp;B14,B14&amp;""),"KIỂM TRA ĐỊNH DẠNG"))</f>
        <v/>
      </c>
      <c r="F14" s="9">
        <f>IF(C14="","",IF(AND(OR(LEN(C14&amp;"")=13,LEN(C14&amp;"")=14),SUMPRODUCT(--ISNUMBER(FIND(MID(C14&amp;"",ROW($1:$14),1),"0123456789")),--(ROW($1:$14)&lt;=LEN(C14&amp;"")))=LEN(C14&amp;"")),IF(LEN(C14&amp;"")=13,"0"&amp;C14,C14&amp;""),"KIỂM TRA ĐỊNH DẠNG"))</f>
        <v/>
      </c>
      <c r="G14" s="9">
        <f>IF(COUNTA(B14:D14)=0,"",IF(COUNTA(B14:D14)&lt;3,"THIẾU DỮ LIỆU",IF(OR(E14="KIỂM TRA ĐỊNH DẠNG",F14="KIỂM TRA ĐỊNH DẠNG",LEN(D14&amp;"")&lt;&gt;14),"KIỂM TRA ĐỊNH DẠNG",IF(AND(E14=F14,E14=D14&amp;""),"TRÙNG SỐ","LỆCH SỐ"))))</f>
        <v/>
      </c>
      <c r="H14" s="7"/>
      <c r="I14" s="7"/>
      <c r="J14" s="7"/>
      <c r="K14" s="9">
        <f>IF(COUNTA(H14:J14)=0,"",IF(COUNTA(H14:J14)&lt;3,"THIẾU DỮ LIỆU",IF(NOT(AND(AND(LEN(H14&amp;"")=10,SUMPRODUCT(--ISNUMBER(FIND(MID(H14&amp;"",ROW($1:$10),1),"0123456789")))=10),AND(LEN(I14&amp;"")=10,SUMPRODUCT(--ISNUMBER(FIND(MID(I14&amp;"",ROW($1:$10),1),"0123456789")))=10),AND(LEN(J14&amp;"")=10,SUMPRODUCT(--ISNUMBER(FIND(MID(J14&amp;"",ROW($1:$10),1),"0123456789")))=10))),"KIỂM TRA 10 CHỮ SỐ",IF(AND(H14&amp;""=I14&amp;"",H14&amp;""=J14&amp;""),"TRÙNG SỐ","LỆCH MÃ"))))</f>
        <v/>
      </c>
      <c r="L14" s="7"/>
      <c r="M14" s="7"/>
      <c r="N14" s="7"/>
      <c r="O14" s="7"/>
      <c r="P14" s="7"/>
      <c r="Q14" s="7"/>
      <c r="R14" s="7"/>
      <c r="S14" s="7"/>
      <c r="T14" s="7"/>
      <c r="U14" s="7"/>
      <c r="V14" s="7"/>
      <c r="W14" s="7"/>
      <c r="X14" s="7"/>
      <c r="Y14" s="7"/>
      <c r="Z14" s="7"/>
      <c r="AA14" s="7"/>
      <c r="AB14" s="9">
        <f>IF(A14="","",IF(SUMPRODUCT(--EXACT($A$6:$A$105,A14))&gt;1,"TRÙNG SKU: XEM LẠI",""))</f>
        <v/>
      </c>
      <c r="AC14" s="10"/>
      <c r="AD14" s="7"/>
      <c r="AE14" s="7"/>
    </row>
    <row r="15" spans="1:31" ht="32" customHeight="1">
      <c r="A15" s="7"/>
      <c r="B15" s="7"/>
      <c r="C15" s="7"/>
      <c r="D15" s="7"/>
      <c r="E15" s="9">
        <f>IF(B15="","",IF(AND(OR(LEN(B15&amp;"")=13,LEN(B15&amp;"")=14),SUMPRODUCT(--ISNUMBER(FIND(MID(B15&amp;"",ROW($1:$14),1),"0123456789")),--(ROW($1:$14)&lt;=LEN(B15&amp;"")))=LEN(B15&amp;"")),IF(LEN(B15&amp;"")=13,"0"&amp;B15,B15&amp;""),"KIỂM TRA ĐỊNH DẠNG"))</f>
        <v/>
      </c>
      <c r="F15" s="9">
        <f>IF(C15="","",IF(AND(OR(LEN(C15&amp;"")=13,LEN(C15&amp;"")=14),SUMPRODUCT(--ISNUMBER(FIND(MID(C15&amp;"",ROW($1:$14),1),"0123456789")),--(ROW($1:$14)&lt;=LEN(C15&amp;"")))=LEN(C15&amp;"")),IF(LEN(C15&amp;"")=13,"0"&amp;C15,C15&amp;""),"KIỂM TRA ĐỊNH DẠNG"))</f>
        <v/>
      </c>
      <c r="G15" s="9">
        <f>IF(COUNTA(B15:D15)=0,"",IF(COUNTA(B15:D15)&lt;3,"THIẾU DỮ LIỆU",IF(OR(E15="KIỂM TRA ĐỊNH DẠNG",F15="KIỂM TRA ĐỊNH DẠNG",LEN(D15&amp;"")&lt;&gt;14),"KIỂM TRA ĐỊNH DẠNG",IF(AND(E15=F15,E15=D15&amp;""),"TRÙNG SỐ","LỆCH SỐ"))))</f>
        <v/>
      </c>
      <c r="H15" s="7"/>
      <c r="I15" s="7"/>
      <c r="J15" s="7"/>
      <c r="K15" s="9">
        <f>IF(COUNTA(H15:J15)=0,"",IF(COUNTA(H15:J15)&lt;3,"THIẾU DỮ LIỆU",IF(NOT(AND(AND(LEN(H15&amp;"")=10,SUMPRODUCT(--ISNUMBER(FIND(MID(H15&amp;"",ROW($1:$10),1),"0123456789")))=10),AND(LEN(I15&amp;"")=10,SUMPRODUCT(--ISNUMBER(FIND(MID(I15&amp;"",ROW($1:$10),1),"0123456789")))=10),AND(LEN(J15&amp;"")=10,SUMPRODUCT(--ISNUMBER(FIND(MID(J15&amp;"",ROW($1:$10),1),"0123456789")))=10))),"KIỂM TRA 10 CHỮ SỐ",IF(AND(H15&amp;""=I15&amp;"",H15&amp;""=J15&amp;""),"TRÙNG SỐ","LỆCH MÃ"))))</f>
        <v/>
      </c>
      <c r="L15" s="7"/>
      <c r="M15" s="7"/>
      <c r="N15" s="7"/>
      <c r="O15" s="7"/>
      <c r="P15" s="7"/>
      <c r="Q15" s="7"/>
      <c r="R15" s="7"/>
      <c r="S15" s="7"/>
      <c r="T15" s="7"/>
      <c r="U15" s="7"/>
      <c r="V15" s="7"/>
      <c r="W15" s="7"/>
      <c r="X15" s="7"/>
      <c r="Y15" s="7"/>
      <c r="Z15" s="7"/>
      <c r="AA15" s="7"/>
      <c r="AB15" s="9">
        <f>IF(A15="","",IF(SUMPRODUCT(--EXACT($A$6:$A$105,A15))&gt;1,"TRÙNG SKU: XEM LẠI",""))</f>
        <v/>
      </c>
      <c r="AC15" s="10"/>
      <c r="AD15" s="7"/>
      <c r="AE15" s="7"/>
    </row>
    <row r="16" spans="1:31" ht="32" customHeight="1">
      <c r="A16" s="7"/>
      <c r="B16" s="7"/>
      <c r="C16" s="7"/>
      <c r="D16" s="7"/>
      <c r="E16" s="9">
        <f>IF(B16="","",IF(AND(OR(LEN(B16&amp;"")=13,LEN(B16&amp;"")=14),SUMPRODUCT(--ISNUMBER(FIND(MID(B16&amp;"",ROW($1:$14),1),"0123456789")),--(ROW($1:$14)&lt;=LEN(B16&amp;"")))=LEN(B16&amp;"")),IF(LEN(B16&amp;"")=13,"0"&amp;B16,B16&amp;""),"KIỂM TRA ĐỊNH DẠNG"))</f>
        <v/>
      </c>
      <c r="F16" s="9">
        <f>IF(C16="","",IF(AND(OR(LEN(C16&amp;"")=13,LEN(C16&amp;"")=14),SUMPRODUCT(--ISNUMBER(FIND(MID(C16&amp;"",ROW($1:$14),1),"0123456789")),--(ROW($1:$14)&lt;=LEN(C16&amp;"")))=LEN(C16&amp;"")),IF(LEN(C16&amp;"")=13,"0"&amp;C16,C16&amp;""),"KIỂM TRA ĐỊNH DẠNG"))</f>
        <v/>
      </c>
      <c r="G16" s="9">
        <f>IF(COUNTA(B16:D16)=0,"",IF(COUNTA(B16:D16)&lt;3,"THIẾU DỮ LIỆU",IF(OR(E16="KIỂM TRA ĐỊNH DẠNG",F16="KIỂM TRA ĐỊNH DẠNG",LEN(D16&amp;"")&lt;&gt;14),"KIỂM TRA ĐỊNH DẠNG",IF(AND(E16=F16,E16=D16&amp;""),"TRÙNG SỐ","LỆCH SỐ"))))</f>
        <v/>
      </c>
      <c r="H16" s="7"/>
      <c r="I16" s="7"/>
      <c r="J16" s="7"/>
      <c r="K16" s="9">
        <f>IF(COUNTA(H16:J16)=0,"",IF(COUNTA(H16:J16)&lt;3,"THIẾU DỮ LIỆU",IF(NOT(AND(AND(LEN(H16&amp;"")=10,SUMPRODUCT(--ISNUMBER(FIND(MID(H16&amp;"",ROW($1:$10),1),"0123456789")))=10),AND(LEN(I16&amp;"")=10,SUMPRODUCT(--ISNUMBER(FIND(MID(I16&amp;"",ROW($1:$10),1),"0123456789")))=10),AND(LEN(J16&amp;"")=10,SUMPRODUCT(--ISNUMBER(FIND(MID(J16&amp;"",ROW($1:$10),1),"0123456789")))=10))),"KIỂM TRA 10 CHỮ SỐ",IF(AND(H16&amp;""=I16&amp;"",H16&amp;""=J16&amp;""),"TRÙNG SỐ","LỆCH MÃ"))))</f>
        <v/>
      </c>
      <c r="L16" s="7"/>
      <c r="M16" s="7"/>
      <c r="N16" s="7"/>
      <c r="O16" s="7"/>
      <c r="P16" s="7"/>
      <c r="Q16" s="7"/>
      <c r="R16" s="7"/>
      <c r="S16" s="7"/>
      <c r="T16" s="7"/>
      <c r="U16" s="7"/>
      <c r="V16" s="7"/>
      <c r="W16" s="7"/>
      <c r="X16" s="7"/>
      <c r="Y16" s="7"/>
      <c r="Z16" s="7"/>
      <c r="AA16" s="7"/>
      <c r="AB16" s="9">
        <f>IF(A16="","",IF(SUMPRODUCT(--EXACT($A$6:$A$105,A16))&gt;1,"TRÙNG SKU: XEM LẠI",""))</f>
        <v/>
      </c>
      <c r="AC16" s="10"/>
      <c r="AD16" s="7"/>
      <c r="AE16" s="7"/>
    </row>
    <row r="17" spans="1:31" ht="32" customHeight="1">
      <c r="A17" s="7"/>
      <c r="B17" s="7"/>
      <c r="C17" s="7"/>
      <c r="D17" s="7"/>
      <c r="E17" s="9">
        <f>IF(B17="","",IF(AND(OR(LEN(B17&amp;"")=13,LEN(B17&amp;"")=14),SUMPRODUCT(--ISNUMBER(FIND(MID(B17&amp;"",ROW($1:$14),1),"0123456789")),--(ROW($1:$14)&lt;=LEN(B17&amp;"")))=LEN(B17&amp;"")),IF(LEN(B17&amp;"")=13,"0"&amp;B17,B17&amp;""),"KIỂM TRA ĐỊNH DẠNG"))</f>
        <v/>
      </c>
      <c r="F17" s="9">
        <f>IF(C17="","",IF(AND(OR(LEN(C17&amp;"")=13,LEN(C17&amp;"")=14),SUMPRODUCT(--ISNUMBER(FIND(MID(C17&amp;"",ROW($1:$14),1),"0123456789")),--(ROW($1:$14)&lt;=LEN(C17&amp;"")))=LEN(C17&amp;"")),IF(LEN(C17&amp;"")=13,"0"&amp;C17,C17&amp;""),"KIỂM TRA ĐỊNH DẠNG"))</f>
        <v/>
      </c>
      <c r="G17" s="9">
        <f>IF(COUNTA(B17:D17)=0,"",IF(COUNTA(B17:D17)&lt;3,"THIẾU DỮ LIỆU",IF(OR(E17="KIỂM TRA ĐỊNH DẠNG",F17="KIỂM TRA ĐỊNH DẠNG",LEN(D17&amp;"")&lt;&gt;14),"KIỂM TRA ĐỊNH DẠNG",IF(AND(E17=F17,E17=D17&amp;""),"TRÙNG SỐ","LỆCH SỐ"))))</f>
        <v/>
      </c>
      <c r="H17" s="7"/>
      <c r="I17" s="7"/>
      <c r="J17" s="7"/>
      <c r="K17" s="9">
        <f>IF(COUNTA(H17:J17)=0,"",IF(COUNTA(H17:J17)&lt;3,"THIẾU DỮ LIỆU",IF(NOT(AND(AND(LEN(H17&amp;"")=10,SUMPRODUCT(--ISNUMBER(FIND(MID(H17&amp;"",ROW($1:$10),1),"0123456789")))=10),AND(LEN(I17&amp;"")=10,SUMPRODUCT(--ISNUMBER(FIND(MID(I17&amp;"",ROW($1:$10),1),"0123456789")))=10),AND(LEN(J17&amp;"")=10,SUMPRODUCT(--ISNUMBER(FIND(MID(J17&amp;"",ROW($1:$10),1),"0123456789")))=10))),"KIỂM TRA 10 CHỮ SỐ",IF(AND(H17&amp;""=I17&amp;"",H17&amp;""=J17&amp;""),"TRÙNG SỐ","LỆCH MÃ"))))</f>
        <v/>
      </c>
      <c r="L17" s="7"/>
      <c r="M17" s="7"/>
      <c r="N17" s="7"/>
      <c r="O17" s="7"/>
      <c r="P17" s="7"/>
      <c r="Q17" s="7"/>
      <c r="R17" s="7"/>
      <c r="S17" s="7"/>
      <c r="T17" s="7"/>
      <c r="U17" s="7"/>
      <c r="V17" s="7"/>
      <c r="W17" s="7"/>
      <c r="X17" s="7"/>
      <c r="Y17" s="7"/>
      <c r="Z17" s="7"/>
      <c r="AA17" s="7"/>
      <c r="AB17" s="9">
        <f>IF(A17="","",IF(SUMPRODUCT(--EXACT($A$6:$A$105,A17))&gt;1,"TRÙNG SKU: XEM LẠI",""))</f>
        <v/>
      </c>
      <c r="AC17" s="10"/>
      <c r="AD17" s="7"/>
      <c r="AE17" s="7"/>
    </row>
    <row r="18" spans="1:31" ht="32" customHeight="1">
      <c r="A18" s="7"/>
      <c r="B18" s="7"/>
      <c r="C18" s="7"/>
      <c r="D18" s="7"/>
      <c r="E18" s="9">
        <f>IF(B18="","",IF(AND(OR(LEN(B18&amp;"")=13,LEN(B18&amp;"")=14),SUMPRODUCT(--ISNUMBER(FIND(MID(B18&amp;"",ROW($1:$14),1),"0123456789")),--(ROW($1:$14)&lt;=LEN(B18&amp;"")))=LEN(B18&amp;"")),IF(LEN(B18&amp;"")=13,"0"&amp;B18,B18&amp;""),"KIỂM TRA ĐỊNH DẠNG"))</f>
        <v/>
      </c>
      <c r="F18" s="9">
        <f>IF(C18="","",IF(AND(OR(LEN(C18&amp;"")=13,LEN(C18&amp;"")=14),SUMPRODUCT(--ISNUMBER(FIND(MID(C18&amp;"",ROW($1:$14),1),"0123456789")),--(ROW($1:$14)&lt;=LEN(C18&amp;"")))=LEN(C18&amp;"")),IF(LEN(C18&amp;"")=13,"0"&amp;C18,C18&amp;""),"KIỂM TRA ĐỊNH DẠNG"))</f>
        <v/>
      </c>
      <c r="G18" s="9">
        <f>IF(COUNTA(B18:D18)=0,"",IF(COUNTA(B18:D18)&lt;3,"THIẾU DỮ LIỆU",IF(OR(E18="KIỂM TRA ĐỊNH DẠNG",F18="KIỂM TRA ĐỊNH DẠNG",LEN(D18&amp;"")&lt;&gt;14),"KIỂM TRA ĐỊNH DẠNG",IF(AND(E18=F18,E18=D18&amp;""),"TRÙNG SỐ","LỆCH SỐ"))))</f>
        <v/>
      </c>
      <c r="H18" s="7"/>
      <c r="I18" s="7"/>
      <c r="J18" s="7"/>
      <c r="K18" s="9">
        <f>IF(COUNTA(H18:J18)=0,"",IF(COUNTA(H18:J18)&lt;3,"THIẾU DỮ LIỆU",IF(NOT(AND(AND(LEN(H18&amp;"")=10,SUMPRODUCT(--ISNUMBER(FIND(MID(H18&amp;"",ROW($1:$10),1),"0123456789")))=10),AND(LEN(I18&amp;"")=10,SUMPRODUCT(--ISNUMBER(FIND(MID(I18&amp;"",ROW($1:$10),1),"0123456789")))=10),AND(LEN(J18&amp;"")=10,SUMPRODUCT(--ISNUMBER(FIND(MID(J18&amp;"",ROW($1:$10),1),"0123456789")))=10))),"KIỂM TRA 10 CHỮ SỐ",IF(AND(H18&amp;""=I18&amp;"",H18&amp;""=J18&amp;""),"TRÙNG SỐ","LỆCH MÃ"))))</f>
        <v/>
      </c>
      <c r="L18" s="7"/>
      <c r="M18" s="7"/>
      <c r="N18" s="7"/>
      <c r="O18" s="7"/>
      <c r="P18" s="7"/>
      <c r="Q18" s="7"/>
      <c r="R18" s="7"/>
      <c r="S18" s="7"/>
      <c r="T18" s="7"/>
      <c r="U18" s="7"/>
      <c r="V18" s="7"/>
      <c r="W18" s="7"/>
      <c r="X18" s="7"/>
      <c r="Y18" s="7"/>
      <c r="Z18" s="7"/>
      <c r="AA18" s="7"/>
      <c r="AB18" s="9">
        <f>IF(A18="","",IF(SUMPRODUCT(--EXACT($A$6:$A$105,A18))&gt;1,"TRÙNG SKU: XEM LẠI",""))</f>
        <v/>
      </c>
      <c r="AC18" s="10"/>
      <c r="AD18" s="7"/>
      <c r="AE18" s="7"/>
    </row>
    <row r="19" spans="1:31" ht="32" customHeight="1">
      <c r="A19" s="7"/>
      <c r="B19" s="7"/>
      <c r="C19" s="7"/>
      <c r="D19" s="7"/>
      <c r="E19" s="9">
        <f>IF(B19="","",IF(AND(OR(LEN(B19&amp;"")=13,LEN(B19&amp;"")=14),SUMPRODUCT(--ISNUMBER(FIND(MID(B19&amp;"",ROW($1:$14),1),"0123456789")),--(ROW($1:$14)&lt;=LEN(B19&amp;"")))=LEN(B19&amp;"")),IF(LEN(B19&amp;"")=13,"0"&amp;B19,B19&amp;""),"KIỂM TRA ĐỊNH DẠNG"))</f>
        <v/>
      </c>
      <c r="F19" s="9">
        <f>IF(C19="","",IF(AND(OR(LEN(C19&amp;"")=13,LEN(C19&amp;"")=14),SUMPRODUCT(--ISNUMBER(FIND(MID(C19&amp;"",ROW($1:$14),1),"0123456789")),--(ROW($1:$14)&lt;=LEN(C19&amp;"")))=LEN(C19&amp;"")),IF(LEN(C19&amp;"")=13,"0"&amp;C19,C19&amp;""),"KIỂM TRA ĐỊNH DẠNG"))</f>
        <v/>
      </c>
      <c r="G19" s="9">
        <f>IF(COUNTA(B19:D19)=0,"",IF(COUNTA(B19:D19)&lt;3,"THIẾU DỮ LIỆU",IF(OR(E19="KIỂM TRA ĐỊNH DẠNG",F19="KIỂM TRA ĐỊNH DẠNG",LEN(D19&amp;"")&lt;&gt;14),"KIỂM TRA ĐỊNH DẠNG",IF(AND(E19=F19,E19=D19&amp;""),"TRÙNG SỐ","LỆCH SỐ"))))</f>
        <v/>
      </c>
      <c r="H19" s="7"/>
      <c r="I19" s="7"/>
      <c r="J19" s="7"/>
      <c r="K19" s="9">
        <f>IF(COUNTA(H19:J19)=0,"",IF(COUNTA(H19:J19)&lt;3,"THIẾU DỮ LIỆU",IF(NOT(AND(AND(LEN(H19&amp;"")=10,SUMPRODUCT(--ISNUMBER(FIND(MID(H19&amp;"",ROW($1:$10),1),"0123456789")))=10),AND(LEN(I19&amp;"")=10,SUMPRODUCT(--ISNUMBER(FIND(MID(I19&amp;"",ROW($1:$10),1),"0123456789")))=10),AND(LEN(J19&amp;"")=10,SUMPRODUCT(--ISNUMBER(FIND(MID(J19&amp;"",ROW($1:$10),1),"0123456789")))=10))),"KIỂM TRA 10 CHỮ SỐ",IF(AND(H19&amp;""=I19&amp;"",H19&amp;""=J19&amp;""),"TRÙNG SỐ","LỆCH MÃ"))))</f>
        <v/>
      </c>
      <c r="L19" s="7"/>
      <c r="M19" s="7"/>
      <c r="N19" s="7"/>
      <c r="O19" s="7"/>
      <c r="P19" s="7"/>
      <c r="Q19" s="7"/>
      <c r="R19" s="7"/>
      <c r="S19" s="7"/>
      <c r="T19" s="7"/>
      <c r="U19" s="7"/>
      <c r="V19" s="7"/>
      <c r="W19" s="7"/>
      <c r="X19" s="7"/>
      <c r="Y19" s="7"/>
      <c r="Z19" s="7"/>
      <c r="AA19" s="7"/>
      <c r="AB19" s="9">
        <f>IF(A19="","",IF(SUMPRODUCT(--EXACT($A$6:$A$105,A19))&gt;1,"TRÙNG SKU: XEM LẠI",""))</f>
        <v/>
      </c>
      <c r="AC19" s="10"/>
      <c r="AD19" s="7"/>
      <c r="AE19" s="7"/>
    </row>
    <row r="20" spans="1:31" ht="32" customHeight="1">
      <c r="A20" s="7"/>
      <c r="B20" s="7"/>
      <c r="C20" s="7"/>
      <c r="D20" s="7"/>
      <c r="E20" s="9">
        <f>IF(B20="","",IF(AND(OR(LEN(B20&amp;"")=13,LEN(B20&amp;"")=14),SUMPRODUCT(--ISNUMBER(FIND(MID(B20&amp;"",ROW($1:$14),1),"0123456789")),--(ROW($1:$14)&lt;=LEN(B20&amp;"")))=LEN(B20&amp;"")),IF(LEN(B20&amp;"")=13,"0"&amp;B20,B20&amp;""),"KIỂM TRA ĐỊNH DẠNG"))</f>
        <v/>
      </c>
      <c r="F20" s="9">
        <f>IF(C20="","",IF(AND(OR(LEN(C20&amp;"")=13,LEN(C20&amp;"")=14),SUMPRODUCT(--ISNUMBER(FIND(MID(C20&amp;"",ROW($1:$14),1),"0123456789")),--(ROW($1:$14)&lt;=LEN(C20&amp;"")))=LEN(C20&amp;"")),IF(LEN(C20&amp;"")=13,"0"&amp;C20,C20&amp;""),"KIỂM TRA ĐỊNH DẠNG"))</f>
        <v/>
      </c>
      <c r="G20" s="9">
        <f>IF(COUNTA(B20:D20)=0,"",IF(COUNTA(B20:D20)&lt;3,"THIẾU DỮ LIỆU",IF(OR(E20="KIỂM TRA ĐỊNH DẠNG",F20="KIỂM TRA ĐỊNH DẠNG",LEN(D20&amp;"")&lt;&gt;14),"KIỂM TRA ĐỊNH DẠNG",IF(AND(E20=F20,E20=D20&amp;""),"TRÙNG SỐ","LỆCH SỐ"))))</f>
        <v/>
      </c>
      <c r="H20" s="7"/>
      <c r="I20" s="7"/>
      <c r="J20" s="7"/>
      <c r="K20" s="9">
        <f>IF(COUNTA(H20:J20)=0,"",IF(COUNTA(H20:J20)&lt;3,"THIẾU DỮ LIỆU",IF(NOT(AND(AND(LEN(H20&amp;"")=10,SUMPRODUCT(--ISNUMBER(FIND(MID(H20&amp;"",ROW($1:$10),1),"0123456789")))=10),AND(LEN(I20&amp;"")=10,SUMPRODUCT(--ISNUMBER(FIND(MID(I20&amp;"",ROW($1:$10),1),"0123456789")))=10),AND(LEN(J20&amp;"")=10,SUMPRODUCT(--ISNUMBER(FIND(MID(J20&amp;"",ROW($1:$10),1),"0123456789")))=10))),"KIỂM TRA 10 CHỮ SỐ",IF(AND(H20&amp;""=I20&amp;"",H20&amp;""=J20&amp;""),"TRÙNG SỐ","LỆCH MÃ"))))</f>
        <v/>
      </c>
      <c r="L20" s="7"/>
      <c r="M20" s="7"/>
      <c r="N20" s="7"/>
      <c r="O20" s="7"/>
      <c r="P20" s="7"/>
      <c r="Q20" s="7"/>
      <c r="R20" s="7"/>
      <c r="S20" s="7"/>
      <c r="T20" s="7"/>
      <c r="U20" s="7"/>
      <c r="V20" s="7"/>
      <c r="W20" s="7"/>
      <c r="X20" s="7"/>
      <c r="Y20" s="7"/>
      <c r="Z20" s="7"/>
      <c r="AA20" s="7"/>
      <c r="AB20" s="9">
        <f>IF(A20="","",IF(SUMPRODUCT(--EXACT($A$6:$A$105,A20))&gt;1,"TRÙNG SKU: XEM LẠI",""))</f>
        <v/>
      </c>
      <c r="AC20" s="10"/>
      <c r="AD20" s="7"/>
      <c r="AE20" s="7"/>
    </row>
    <row r="21" spans="1:31" ht="32" customHeight="1">
      <c r="A21" s="7"/>
      <c r="B21" s="7"/>
      <c r="C21" s="7"/>
      <c r="D21" s="7"/>
      <c r="E21" s="9">
        <f>IF(B21="","",IF(AND(OR(LEN(B21&amp;"")=13,LEN(B21&amp;"")=14),SUMPRODUCT(--ISNUMBER(FIND(MID(B21&amp;"",ROW($1:$14),1),"0123456789")),--(ROW($1:$14)&lt;=LEN(B21&amp;"")))=LEN(B21&amp;"")),IF(LEN(B21&amp;"")=13,"0"&amp;B21,B21&amp;""),"KIỂM TRA ĐỊNH DẠNG"))</f>
        <v/>
      </c>
      <c r="F21" s="9">
        <f>IF(C21="","",IF(AND(OR(LEN(C21&amp;"")=13,LEN(C21&amp;"")=14),SUMPRODUCT(--ISNUMBER(FIND(MID(C21&amp;"",ROW($1:$14),1),"0123456789")),--(ROW($1:$14)&lt;=LEN(C21&amp;"")))=LEN(C21&amp;"")),IF(LEN(C21&amp;"")=13,"0"&amp;C21,C21&amp;""),"KIỂM TRA ĐỊNH DẠNG"))</f>
        <v/>
      </c>
      <c r="G21" s="9">
        <f>IF(COUNTA(B21:D21)=0,"",IF(COUNTA(B21:D21)&lt;3,"THIẾU DỮ LIỆU",IF(OR(E21="KIỂM TRA ĐỊNH DẠNG",F21="KIỂM TRA ĐỊNH DẠNG",LEN(D21&amp;"")&lt;&gt;14),"KIỂM TRA ĐỊNH DẠNG",IF(AND(E21=F21,E21=D21&amp;""),"TRÙNG SỐ","LỆCH SỐ"))))</f>
        <v/>
      </c>
      <c r="H21" s="7"/>
      <c r="I21" s="7"/>
      <c r="J21" s="7"/>
      <c r="K21" s="9">
        <f>IF(COUNTA(H21:J21)=0,"",IF(COUNTA(H21:J21)&lt;3,"THIẾU DỮ LIỆU",IF(NOT(AND(AND(LEN(H21&amp;"")=10,SUMPRODUCT(--ISNUMBER(FIND(MID(H21&amp;"",ROW($1:$10),1),"0123456789")))=10),AND(LEN(I21&amp;"")=10,SUMPRODUCT(--ISNUMBER(FIND(MID(I21&amp;"",ROW($1:$10),1),"0123456789")))=10),AND(LEN(J21&amp;"")=10,SUMPRODUCT(--ISNUMBER(FIND(MID(J21&amp;"",ROW($1:$10),1),"0123456789")))=10))),"KIỂM TRA 10 CHỮ SỐ",IF(AND(H21&amp;""=I21&amp;"",H21&amp;""=J21&amp;""),"TRÙNG SỐ","LỆCH MÃ"))))</f>
        <v/>
      </c>
      <c r="L21" s="7"/>
      <c r="M21" s="7"/>
      <c r="N21" s="7"/>
      <c r="O21" s="7"/>
      <c r="P21" s="7"/>
      <c r="Q21" s="7"/>
      <c r="R21" s="7"/>
      <c r="S21" s="7"/>
      <c r="T21" s="7"/>
      <c r="U21" s="7"/>
      <c r="V21" s="7"/>
      <c r="W21" s="7"/>
      <c r="X21" s="7"/>
      <c r="Y21" s="7"/>
      <c r="Z21" s="7"/>
      <c r="AA21" s="7"/>
      <c r="AB21" s="9">
        <f>IF(A21="","",IF(SUMPRODUCT(--EXACT($A$6:$A$105,A21))&gt;1,"TRÙNG SKU: XEM LẠI",""))</f>
        <v/>
      </c>
      <c r="AC21" s="10"/>
      <c r="AD21" s="7"/>
      <c r="AE21" s="7"/>
    </row>
    <row r="22" spans="1:31" ht="32" customHeight="1">
      <c r="A22" s="7"/>
      <c r="B22" s="7"/>
      <c r="C22" s="7"/>
      <c r="D22" s="7"/>
      <c r="E22" s="9">
        <f>IF(B22="","",IF(AND(OR(LEN(B22&amp;"")=13,LEN(B22&amp;"")=14),SUMPRODUCT(--ISNUMBER(FIND(MID(B22&amp;"",ROW($1:$14),1),"0123456789")),--(ROW($1:$14)&lt;=LEN(B22&amp;"")))=LEN(B22&amp;"")),IF(LEN(B22&amp;"")=13,"0"&amp;B22,B22&amp;""),"KIỂM TRA ĐỊNH DẠNG"))</f>
        <v/>
      </c>
      <c r="F22" s="9">
        <f>IF(C22="","",IF(AND(OR(LEN(C22&amp;"")=13,LEN(C22&amp;"")=14),SUMPRODUCT(--ISNUMBER(FIND(MID(C22&amp;"",ROW($1:$14),1),"0123456789")),--(ROW($1:$14)&lt;=LEN(C22&amp;"")))=LEN(C22&amp;"")),IF(LEN(C22&amp;"")=13,"0"&amp;C22,C22&amp;""),"KIỂM TRA ĐỊNH DẠNG"))</f>
        <v/>
      </c>
      <c r="G22" s="9">
        <f>IF(COUNTA(B22:D22)=0,"",IF(COUNTA(B22:D22)&lt;3,"THIẾU DỮ LIỆU",IF(OR(E22="KIỂM TRA ĐỊNH DẠNG",F22="KIỂM TRA ĐỊNH DẠNG",LEN(D22&amp;"")&lt;&gt;14),"KIỂM TRA ĐỊNH DẠNG",IF(AND(E22=F22,E22=D22&amp;""),"TRÙNG SỐ","LỆCH SỐ"))))</f>
        <v/>
      </c>
      <c r="H22" s="7"/>
      <c r="I22" s="7"/>
      <c r="J22" s="7"/>
      <c r="K22" s="9">
        <f>IF(COUNTA(H22:J22)=0,"",IF(COUNTA(H22:J22)&lt;3,"THIẾU DỮ LIỆU",IF(NOT(AND(AND(LEN(H22&amp;"")=10,SUMPRODUCT(--ISNUMBER(FIND(MID(H22&amp;"",ROW($1:$10),1),"0123456789")))=10),AND(LEN(I22&amp;"")=10,SUMPRODUCT(--ISNUMBER(FIND(MID(I22&amp;"",ROW($1:$10),1),"0123456789")))=10),AND(LEN(J22&amp;"")=10,SUMPRODUCT(--ISNUMBER(FIND(MID(J22&amp;"",ROW($1:$10),1),"0123456789")))=10))),"KIỂM TRA 10 CHỮ SỐ",IF(AND(H22&amp;""=I22&amp;"",H22&amp;""=J22&amp;""),"TRÙNG SỐ","LỆCH MÃ"))))</f>
        <v/>
      </c>
      <c r="L22" s="7"/>
      <c r="M22" s="7"/>
      <c r="N22" s="7"/>
      <c r="O22" s="7"/>
      <c r="P22" s="7"/>
      <c r="Q22" s="7"/>
      <c r="R22" s="7"/>
      <c r="S22" s="7"/>
      <c r="T22" s="7"/>
      <c r="U22" s="7"/>
      <c r="V22" s="7"/>
      <c r="W22" s="7"/>
      <c r="X22" s="7"/>
      <c r="Y22" s="7"/>
      <c r="Z22" s="7"/>
      <c r="AA22" s="7"/>
      <c r="AB22" s="9">
        <f>IF(A22="","",IF(SUMPRODUCT(--EXACT($A$6:$A$105,A22))&gt;1,"TRÙNG SKU: XEM LẠI",""))</f>
        <v/>
      </c>
      <c r="AC22" s="10"/>
      <c r="AD22" s="7"/>
      <c r="AE22" s="7"/>
    </row>
    <row r="23" spans="1:31" ht="32" customHeight="1">
      <c r="A23" s="7"/>
      <c r="B23" s="7"/>
      <c r="C23" s="7"/>
      <c r="D23" s="7"/>
      <c r="E23" s="9">
        <f>IF(B23="","",IF(AND(OR(LEN(B23&amp;"")=13,LEN(B23&amp;"")=14),SUMPRODUCT(--ISNUMBER(FIND(MID(B23&amp;"",ROW($1:$14),1),"0123456789")),--(ROW($1:$14)&lt;=LEN(B23&amp;"")))=LEN(B23&amp;"")),IF(LEN(B23&amp;"")=13,"0"&amp;B23,B23&amp;""),"KIỂM TRA ĐỊNH DẠNG"))</f>
        <v/>
      </c>
      <c r="F23" s="9">
        <f>IF(C23="","",IF(AND(OR(LEN(C23&amp;"")=13,LEN(C23&amp;"")=14),SUMPRODUCT(--ISNUMBER(FIND(MID(C23&amp;"",ROW($1:$14),1),"0123456789")),--(ROW($1:$14)&lt;=LEN(C23&amp;"")))=LEN(C23&amp;"")),IF(LEN(C23&amp;"")=13,"0"&amp;C23,C23&amp;""),"KIỂM TRA ĐỊNH DẠNG"))</f>
        <v/>
      </c>
      <c r="G23" s="9">
        <f>IF(COUNTA(B23:D23)=0,"",IF(COUNTA(B23:D23)&lt;3,"THIẾU DỮ LIỆU",IF(OR(E23="KIỂM TRA ĐỊNH DẠNG",F23="KIỂM TRA ĐỊNH DẠNG",LEN(D23&amp;"")&lt;&gt;14),"KIỂM TRA ĐỊNH DẠNG",IF(AND(E23=F23,E23=D23&amp;""),"TRÙNG SỐ","LỆCH SỐ"))))</f>
        <v/>
      </c>
      <c r="H23" s="7"/>
      <c r="I23" s="7"/>
      <c r="J23" s="7"/>
      <c r="K23" s="9">
        <f>IF(COUNTA(H23:J23)=0,"",IF(COUNTA(H23:J23)&lt;3,"THIẾU DỮ LIỆU",IF(NOT(AND(AND(LEN(H23&amp;"")=10,SUMPRODUCT(--ISNUMBER(FIND(MID(H23&amp;"",ROW($1:$10),1),"0123456789")))=10),AND(LEN(I23&amp;"")=10,SUMPRODUCT(--ISNUMBER(FIND(MID(I23&amp;"",ROW($1:$10),1),"0123456789")))=10),AND(LEN(J23&amp;"")=10,SUMPRODUCT(--ISNUMBER(FIND(MID(J23&amp;"",ROW($1:$10),1),"0123456789")))=10))),"KIỂM TRA 10 CHỮ SỐ",IF(AND(H23&amp;""=I23&amp;"",H23&amp;""=J23&amp;""),"TRÙNG SỐ","LỆCH MÃ"))))</f>
        <v/>
      </c>
      <c r="L23" s="7"/>
      <c r="M23" s="7"/>
      <c r="N23" s="7"/>
      <c r="O23" s="7"/>
      <c r="P23" s="7"/>
      <c r="Q23" s="7"/>
      <c r="R23" s="7"/>
      <c r="S23" s="7"/>
      <c r="T23" s="7"/>
      <c r="U23" s="7"/>
      <c r="V23" s="7"/>
      <c r="W23" s="7"/>
      <c r="X23" s="7"/>
      <c r="Y23" s="7"/>
      <c r="Z23" s="7"/>
      <c r="AA23" s="7"/>
      <c r="AB23" s="9">
        <f>IF(A23="","",IF(SUMPRODUCT(--EXACT($A$6:$A$105,A23))&gt;1,"TRÙNG SKU: XEM LẠI",""))</f>
        <v/>
      </c>
      <c r="AC23" s="10"/>
      <c r="AD23" s="7"/>
      <c r="AE23" s="7"/>
    </row>
    <row r="24" spans="1:31" ht="32" customHeight="1">
      <c r="A24" s="7"/>
      <c r="B24" s="7"/>
      <c r="C24" s="7"/>
      <c r="D24" s="7"/>
      <c r="E24" s="9">
        <f>IF(B24="","",IF(AND(OR(LEN(B24&amp;"")=13,LEN(B24&amp;"")=14),SUMPRODUCT(--ISNUMBER(FIND(MID(B24&amp;"",ROW($1:$14),1),"0123456789")),--(ROW($1:$14)&lt;=LEN(B24&amp;"")))=LEN(B24&amp;"")),IF(LEN(B24&amp;"")=13,"0"&amp;B24,B24&amp;""),"KIỂM TRA ĐỊNH DẠNG"))</f>
        <v/>
      </c>
      <c r="F24" s="9">
        <f>IF(C24="","",IF(AND(OR(LEN(C24&amp;"")=13,LEN(C24&amp;"")=14),SUMPRODUCT(--ISNUMBER(FIND(MID(C24&amp;"",ROW($1:$14),1),"0123456789")),--(ROW($1:$14)&lt;=LEN(C24&amp;"")))=LEN(C24&amp;"")),IF(LEN(C24&amp;"")=13,"0"&amp;C24,C24&amp;""),"KIỂM TRA ĐỊNH DẠNG"))</f>
        <v/>
      </c>
      <c r="G24" s="9">
        <f>IF(COUNTA(B24:D24)=0,"",IF(COUNTA(B24:D24)&lt;3,"THIẾU DỮ LIỆU",IF(OR(E24="KIỂM TRA ĐỊNH DẠNG",F24="KIỂM TRA ĐỊNH DẠNG",LEN(D24&amp;"")&lt;&gt;14),"KIỂM TRA ĐỊNH DẠNG",IF(AND(E24=F24,E24=D24&amp;""),"TRÙNG SỐ","LỆCH SỐ"))))</f>
        <v/>
      </c>
      <c r="H24" s="7"/>
      <c r="I24" s="7"/>
      <c r="J24" s="7"/>
      <c r="K24" s="9">
        <f>IF(COUNTA(H24:J24)=0,"",IF(COUNTA(H24:J24)&lt;3,"THIẾU DỮ LIỆU",IF(NOT(AND(AND(LEN(H24&amp;"")=10,SUMPRODUCT(--ISNUMBER(FIND(MID(H24&amp;"",ROW($1:$10),1),"0123456789")))=10),AND(LEN(I24&amp;"")=10,SUMPRODUCT(--ISNUMBER(FIND(MID(I24&amp;"",ROW($1:$10),1),"0123456789")))=10),AND(LEN(J24&amp;"")=10,SUMPRODUCT(--ISNUMBER(FIND(MID(J24&amp;"",ROW($1:$10),1),"0123456789")))=10))),"KIỂM TRA 10 CHỮ SỐ",IF(AND(H24&amp;""=I24&amp;"",H24&amp;""=J24&amp;""),"TRÙNG SỐ","LỆCH MÃ"))))</f>
        <v/>
      </c>
      <c r="L24" s="7"/>
      <c r="M24" s="7"/>
      <c r="N24" s="7"/>
      <c r="O24" s="7"/>
      <c r="P24" s="7"/>
      <c r="Q24" s="7"/>
      <c r="R24" s="7"/>
      <c r="S24" s="7"/>
      <c r="T24" s="7"/>
      <c r="U24" s="7"/>
      <c r="V24" s="7"/>
      <c r="W24" s="7"/>
      <c r="X24" s="7"/>
      <c r="Y24" s="7"/>
      <c r="Z24" s="7"/>
      <c r="AA24" s="7"/>
      <c r="AB24" s="9">
        <f>IF(A24="","",IF(SUMPRODUCT(--EXACT($A$6:$A$105,A24))&gt;1,"TRÙNG SKU: XEM LẠI",""))</f>
        <v/>
      </c>
      <c r="AC24" s="10"/>
      <c r="AD24" s="7"/>
      <c r="AE24" s="7"/>
    </row>
    <row r="25" spans="1:31" ht="32" customHeight="1">
      <c r="A25" s="7"/>
      <c r="B25" s="7"/>
      <c r="C25" s="7"/>
      <c r="D25" s="7"/>
      <c r="E25" s="9">
        <f>IF(B25="","",IF(AND(OR(LEN(B25&amp;"")=13,LEN(B25&amp;"")=14),SUMPRODUCT(--ISNUMBER(FIND(MID(B25&amp;"",ROW($1:$14),1),"0123456789")),--(ROW($1:$14)&lt;=LEN(B25&amp;"")))=LEN(B25&amp;"")),IF(LEN(B25&amp;"")=13,"0"&amp;B25,B25&amp;""),"KIỂM TRA ĐỊNH DẠNG"))</f>
        <v/>
      </c>
      <c r="F25" s="9">
        <f>IF(C25="","",IF(AND(OR(LEN(C25&amp;"")=13,LEN(C25&amp;"")=14),SUMPRODUCT(--ISNUMBER(FIND(MID(C25&amp;"",ROW($1:$14),1),"0123456789")),--(ROW($1:$14)&lt;=LEN(C25&amp;"")))=LEN(C25&amp;"")),IF(LEN(C25&amp;"")=13,"0"&amp;C25,C25&amp;""),"KIỂM TRA ĐỊNH DẠNG"))</f>
        <v/>
      </c>
      <c r="G25" s="9">
        <f>IF(COUNTA(B25:D25)=0,"",IF(COUNTA(B25:D25)&lt;3,"THIẾU DỮ LIỆU",IF(OR(E25="KIỂM TRA ĐỊNH DẠNG",F25="KIỂM TRA ĐỊNH DẠNG",LEN(D25&amp;"")&lt;&gt;14),"KIỂM TRA ĐỊNH DẠNG",IF(AND(E25=F25,E25=D25&amp;""),"TRÙNG SỐ","LỆCH SỐ"))))</f>
        <v/>
      </c>
      <c r="H25" s="7"/>
      <c r="I25" s="7"/>
      <c r="J25" s="7"/>
      <c r="K25" s="9">
        <f>IF(COUNTA(H25:J25)=0,"",IF(COUNTA(H25:J25)&lt;3,"THIẾU DỮ LIỆU",IF(NOT(AND(AND(LEN(H25&amp;"")=10,SUMPRODUCT(--ISNUMBER(FIND(MID(H25&amp;"",ROW($1:$10),1),"0123456789")))=10),AND(LEN(I25&amp;"")=10,SUMPRODUCT(--ISNUMBER(FIND(MID(I25&amp;"",ROW($1:$10),1),"0123456789")))=10),AND(LEN(J25&amp;"")=10,SUMPRODUCT(--ISNUMBER(FIND(MID(J25&amp;"",ROW($1:$10),1),"0123456789")))=10))),"KIỂM TRA 10 CHỮ SỐ",IF(AND(H25&amp;""=I25&amp;"",H25&amp;""=J25&amp;""),"TRÙNG SỐ","LỆCH MÃ"))))</f>
        <v/>
      </c>
      <c r="L25" s="7"/>
      <c r="M25" s="7"/>
      <c r="N25" s="7"/>
      <c r="O25" s="7"/>
      <c r="P25" s="7"/>
      <c r="Q25" s="7"/>
      <c r="R25" s="7"/>
      <c r="S25" s="7"/>
      <c r="T25" s="7"/>
      <c r="U25" s="7"/>
      <c r="V25" s="7"/>
      <c r="W25" s="7"/>
      <c r="X25" s="7"/>
      <c r="Y25" s="7"/>
      <c r="Z25" s="7"/>
      <c r="AA25" s="7"/>
      <c r="AB25" s="9">
        <f>IF(A25="","",IF(SUMPRODUCT(--EXACT($A$6:$A$105,A25))&gt;1,"TRÙNG SKU: XEM LẠI",""))</f>
        <v/>
      </c>
      <c r="AC25" s="10"/>
      <c r="AD25" s="7"/>
      <c r="AE25" s="7"/>
    </row>
    <row r="26" spans="1:31" ht="32" customHeight="1">
      <c r="A26" s="7"/>
      <c r="B26" s="7"/>
      <c r="C26" s="7"/>
      <c r="D26" s="7"/>
      <c r="E26" s="9">
        <f>IF(B26="","",IF(AND(OR(LEN(B26&amp;"")=13,LEN(B26&amp;"")=14),SUMPRODUCT(--ISNUMBER(FIND(MID(B26&amp;"",ROW($1:$14),1),"0123456789")),--(ROW($1:$14)&lt;=LEN(B26&amp;"")))=LEN(B26&amp;"")),IF(LEN(B26&amp;"")=13,"0"&amp;B26,B26&amp;""),"KIỂM TRA ĐỊNH DẠNG"))</f>
        <v/>
      </c>
      <c r="F26" s="9">
        <f>IF(C26="","",IF(AND(OR(LEN(C26&amp;"")=13,LEN(C26&amp;"")=14),SUMPRODUCT(--ISNUMBER(FIND(MID(C26&amp;"",ROW($1:$14),1),"0123456789")),--(ROW($1:$14)&lt;=LEN(C26&amp;"")))=LEN(C26&amp;"")),IF(LEN(C26&amp;"")=13,"0"&amp;C26,C26&amp;""),"KIỂM TRA ĐỊNH DẠNG"))</f>
        <v/>
      </c>
      <c r="G26" s="9">
        <f>IF(COUNTA(B26:D26)=0,"",IF(COUNTA(B26:D26)&lt;3,"THIẾU DỮ LIỆU",IF(OR(E26="KIỂM TRA ĐỊNH DẠNG",F26="KIỂM TRA ĐỊNH DẠNG",LEN(D26&amp;"")&lt;&gt;14),"KIỂM TRA ĐỊNH DẠNG",IF(AND(E26=F26,E26=D26&amp;""),"TRÙNG SỐ","LỆCH SỐ"))))</f>
        <v/>
      </c>
      <c r="H26" s="7"/>
      <c r="I26" s="7"/>
      <c r="J26" s="7"/>
      <c r="K26" s="9">
        <f>IF(COUNTA(H26:J26)=0,"",IF(COUNTA(H26:J26)&lt;3,"THIẾU DỮ LIỆU",IF(NOT(AND(AND(LEN(H26&amp;"")=10,SUMPRODUCT(--ISNUMBER(FIND(MID(H26&amp;"",ROW($1:$10),1),"0123456789")))=10),AND(LEN(I26&amp;"")=10,SUMPRODUCT(--ISNUMBER(FIND(MID(I26&amp;"",ROW($1:$10),1),"0123456789")))=10),AND(LEN(J26&amp;"")=10,SUMPRODUCT(--ISNUMBER(FIND(MID(J26&amp;"",ROW($1:$10),1),"0123456789")))=10))),"KIỂM TRA 10 CHỮ SỐ",IF(AND(H26&amp;""=I26&amp;"",H26&amp;""=J26&amp;""),"TRÙNG SỐ","LỆCH MÃ"))))</f>
        <v/>
      </c>
      <c r="L26" s="7"/>
      <c r="M26" s="7"/>
      <c r="N26" s="7"/>
      <c r="O26" s="7"/>
      <c r="P26" s="7"/>
      <c r="Q26" s="7"/>
      <c r="R26" s="7"/>
      <c r="S26" s="7"/>
      <c r="T26" s="7"/>
      <c r="U26" s="7"/>
      <c r="V26" s="7"/>
      <c r="W26" s="7"/>
      <c r="X26" s="7"/>
      <c r="Y26" s="7"/>
      <c r="Z26" s="7"/>
      <c r="AA26" s="7"/>
      <c r="AB26" s="9">
        <f>IF(A26="","",IF(SUMPRODUCT(--EXACT($A$6:$A$105,A26))&gt;1,"TRÙNG SKU: XEM LẠI",""))</f>
        <v/>
      </c>
      <c r="AC26" s="10"/>
      <c r="AD26" s="7"/>
      <c r="AE26" s="7"/>
    </row>
    <row r="27" spans="1:31" ht="32" customHeight="1">
      <c r="A27" s="7"/>
      <c r="B27" s="7"/>
      <c r="C27" s="7"/>
      <c r="D27" s="7"/>
      <c r="E27" s="9">
        <f>IF(B27="","",IF(AND(OR(LEN(B27&amp;"")=13,LEN(B27&amp;"")=14),SUMPRODUCT(--ISNUMBER(FIND(MID(B27&amp;"",ROW($1:$14),1),"0123456789")),--(ROW($1:$14)&lt;=LEN(B27&amp;"")))=LEN(B27&amp;"")),IF(LEN(B27&amp;"")=13,"0"&amp;B27,B27&amp;""),"KIỂM TRA ĐỊNH DẠNG"))</f>
        <v/>
      </c>
      <c r="F27" s="9">
        <f>IF(C27="","",IF(AND(OR(LEN(C27&amp;"")=13,LEN(C27&amp;"")=14),SUMPRODUCT(--ISNUMBER(FIND(MID(C27&amp;"",ROW($1:$14),1),"0123456789")),--(ROW($1:$14)&lt;=LEN(C27&amp;"")))=LEN(C27&amp;"")),IF(LEN(C27&amp;"")=13,"0"&amp;C27,C27&amp;""),"KIỂM TRA ĐỊNH DẠNG"))</f>
        <v/>
      </c>
      <c r="G27" s="9">
        <f>IF(COUNTA(B27:D27)=0,"",IF(COUNTA(B27:D27)&lt;3,"THIẾU DỮ LIỆU",IF(OR(E27="KIỂM TRA ĐỊNH DẠNG",F27="KIỂM TRA ĐỊNH DẠNG",LEN(D27&amp;"")&lt;&gt;14),"KIỂM TRA ĐỊNH DẠNG",IF(AND(E27=F27,E27=D27&amp;""),"TRÙNG SỐ","LỆCH SỐ"))))</f>
        <v/>
      </c>
      <c r="H27" s="7"/>
      <c r="I27" s="7"/>
      <c r="J27" s="7"/>
      <c r="K27" s="9">
        <f>IF(COUNTA(H27:J27)=0,"",IF(COUNTA(H27:J27)&lt;3,"THIẾU DỮ LIỆU",IF(NOT(AND(AND(LEN(H27&amp;"")=10,SUMPRODUCT(--ISNUMBER(FIND(MID(H27&amp;"",ROW($1:$10),1),"0123456789")))=10),AND(LEN(I27&amp;"")=10,SUMPRODUCT(--ISNUMBER(FIND(MID(I27&amp;"",ROW($1:$10),1),"0123456789")))=10),AND(LEN(J27&amp;"")=10,SUMPRODUCT(--ISNUMBER(FIND(MID(J27&amp;"",ROW($1:$10),1),"0123456789")))=10))),"KIỂM TRA 10 CHỮ SỐ",IF(AND(H27&amp;""=I27&amp;"",H27&amp;""=J27&amp;""),"TRÙNG SỐ","LỆCH MÃ"))))</f>
        <v/>
      </c>
      <c r="L27" s="7"/>
      <c r="M27" s="7"/>
      <c r="N27" s="7"/>
      <c r="O27" s="7"/>
      <c r="P27" s="7"/>
      <c r="Q27" s="7"/>
      <c r="R27" s="7"/>
      <c r="S27" s="7"/>
      <c r="T27" s="7"/>
      <c r="U27" s="7"/>
      <c r="V27" s="7"/>
      <c r="W27" s="7"/>
      <c r="X27" s="7"/>
      <c r="Y27" s="7"/>
      <c r="Z27" s="7"/>
      <c r="AA27" s="7"/>
      <c r="AB27" s="9">
        <f>IF(A27="","",IF(SUMPRODUCT(--EXACT($A$6:$A$105,A27))&gt;1,"TRÙNG SKU: XEM LẠI",""))</f>
        <v/>
      </c>
      <c r="AC27" s="10"/>
      <c r="AD27" s="7"/>
      <c r="AE27" s="7"/>
    </row>
    <row r="28" spans="1:31" ht="32" customHeight="1">
      <c r="A28" s="7"/>
      <c r="B28" s="7"/>
      <c r="C28" s="7"/>
      <c r="D28" s="7"/>
      <c r="E28" s="9">
        <f>IF(B28="","",IF(AND(OR(LEN(B28&amp;"")=13,LEN(B28&amp;"")=14),SUMPRODUCT(--ISNUMBER(FIND(MID(B28&amp;"",ROW($1:$14),1),"0123456789")),--(ROW($1:$14)&lt;=LEN(B28&amp;"")))=LEN(B28&amp;"")),IF(LEN(B28&amp;"")=13,"0"&amp;B28,B28&amp;""),"KIỂM TRA ĐỊNH DẠNG"))</f>
        <v/>
      </c>
      <c r="F28" s="9">
        <f>IF(C28="","",IF(AND(OR(LEN(C28&amp;"")=13,LEN(C28&amp;"")=14),SUMPRODUCT(--ISNUMBER(FIND(MID(C28&amp;"",ROW($1:$14),1),"0123456789")),--(ROW($1:$14)&lt;=LEN(C28&amp;"")))=LEN(C28&amp;"")),IF(LEN(C28&amp;"")=13,"0"&amp;C28,C28&amp;""),"KIỂM TRA ĐỊNH DẠNG"))</f>
        <v/>
      </c>
      <c r="G28" s="9">
        <f>IF(COUNTA(B28:D28)=0,"",IF(COUNTA(B28:D28)&lt;3,"THIẾU DỮ LIỆU",IF(OR(E28="KIỂM TRA ĐỊNH DẠNG",F28="KIỂM TRA ĐỊNH DẠNG",LEN(D28&amp;"")&lt;&gt;14),"KIỂM TRA ĐỊNH DẠNG",IF(AND(E28=F28,E28=D28&amp;""),"TRÙNG SỐ","LỆCH SỐ"))))</f>
        <v/>
      </c>
      <c r="H28" s="7"/>
      <c r="I28" s="7"/>
      <c r="J28" s="7"/>
      <c r="K28" s="9">
        <f>IF(COUNTA(H28:J28)=0,"",IF(COUNTA(H28:J28)&lt;3,"THIẾU DỮ LIỆU",IF(NOT(AND(AND(LEN(H28&amp;"")=10,SUMPRODUCT(--ISNUMBER(FIND(MID(H28&amp;"",ROW($1:$10),1),"0123456789")))=10),AND(LEN(I28&amp;"")=10,SUMPRODUCT(--ISNUMBER(FIND(MID(I28&amp;"",ROW($1:$10),1),"0123456789")))=10),AND(LEN(J28&amp;"")=10,SUMPRODUCT(--ISNUMBER(FIND(MID(J28&amp;"",ROW($1:$10),1),"0123456789")))=10))),"KIỂM TRA 10 CHỮ SỐ",IF(AND(H28&amp;""=I28&amp;"",H28&amp;""=J28&amp;""),"TRÙNG SỐ","LỆCH MÃ"))))</f>
        <v/>
      </c>
      <c r="L28" s="7"/>
      <c r="M28" s="7"/>
      <c r="N28" s="7"/>
      <c r="O28" s="7"/>
      <c r="P28" s="7"/>
      <c r="Q28" s="7"/>
      <c r="R28" s="7"/>
      <c r="S28" s="7"/>
      <c r="T28" s="7"/>
      <c r="U28" s="7"/>
      <c r="V28" s="7"/>
      <c r="W28" s="7"/>
      <c r="X28" s="7"/>
      <c r="Y28" s="7"/>
      <c r="Z28" s="7"/>
      <c r="AA28" s="7"/>
      <c r="AB28" s="9">
        <f>IF(A28="","",IF(SUMPRODUCT(--EXACT($A$6:$A$105,A28))&gt;1,"TRÙNG SKU: XEM LẠI",""))</f>
        <v/>
      </c>
      <c r="AC28" s="10"/>
      <c r="AD28" s="7"/>
      <c r="AE28" s="7"/>
    </row>
    <row r="29" spans="1:31" ht="32" customHeight="1">
      <c r="A29" s="7"/>
      <c r="B29" s="7"/>
      <c r="C29" s="7"/>
      <c r="D29" s="7"/>
      <c r="E29" s="9">
        <f>IF(B29="","",IF(AND(OR(LEN(B29&amp;"")=13,LEN(B29&amp;"")=14),SUMPRODUCT(--ISNUMBER(FIND(MID(B29&amp;"",ROW($1:$14),1),"0123456789")),--(ROW($1:$14)&lt;=LEN(B29&amp;"")))=LEN(B29&amp;"")),IF(LEN(B29&amp;"")=13,"0"&amp;B29,B29&amp;""),"KIỂM TRA ĐỊNH DẠNG"))</f>
        <v/>
      </c>
      <c r="F29" s="9">
        <f>IF(C29="","",IF(AND(OR(LEN(C29&amp;"")=13,LEN(C29&amp;"")=14),SUMPRODUCT(--ISNUMBER(FIND(MID(C29&amp;"",ROW($1:$14),1),"0123456789")),--(ROW($1:$14)&lt;=LEN(C29&amp;"")))=LEN(C29&amp;"")),IF(LEN(C29&amp;"")=13,"0"&amp;C29,C29&amp;""),"KIỂM TRA ĐỊNH DẠNG"))</f>
        <v/>
      </c>
      <c r="G29" s="9">
        <f>IF(COUNTA(B29:D29)=0,"",IF(COUNTA(B29:D29)&lt;3,"THIẾU DỮ LIỆU",IF(OR(E29="KIỂM TRA ĐỊNH DẠNG",F29="KIỂM TRA ĐỊNH DẠNG",LEN(D29&amp;"")&lt;&gt;14),"KIỂM TRA ĐỊNH DẠNG",IF(AND(E29=F29,E29=D29&amp;""),"TRÙNG SỐ","LỆCH SỐ"))))</f>
        <v/>
      </c>
      <c r="H29" s="7"/>
      <c r="I29" s="7"/>
      <c r="J29" s="7"/>
      <c r="K29" s="9">
        <f>IF(COUNTA(H29:J29)=0,"",IF(COUNTA(H29:J29)&lt;3,"THIẾU DỮ LIỆU",IF(NOT(AND(AND(LEN(H29&amp;"")=10,SUMPRODUCT(--ISNUMBER(FIND(MID(H29&amp;"",ROW($1:$10),1),"0123456789")))=10),AND(LEN(I29&amp;"")=10,SUMPRODUCT(--ISNUMBER(FIND(MID(I29&amp;"",ROW($1:$10),1),"0123456789")))=10),AND(LEN(J29&amp;"")=10,SUMPRODUCT(--ISNUMBER(FIND(MID(J29&amp;"",ROW($1:$10),1),"0123456789")))=10))),"KIỂM TRA 10 CHỮ SỐ",IF(AND(H29&amp;""=I29&amp;"",H29&amp;""=J29&amp;""),"TRÙNG SỐ","LỆCH MÃ"))))</f>
        <v/>
      </c>
      <c r="L29" s="7"/>
      <c r="M29" s="7"/>
      <c r="N29" s="7"/>
      <c r="O29" s="7"/>
      <c r="P29" s="7"/>
      <c r="Q29" s="7"/>
      <c r="R29" s="7"/>
      <c r="S29" s="7"/>
      <c r="T29" s="7"/>
      <c r="U29" s="7"/>
      <c r="V29" s="7"/>
      <c r="W29" s="7"/>
      <c r="X29" s="7"/>
      <c r="Y29" s="7"/>
      <c r="Z29" s="7"/>
      <c r="AA29" s="7"/>
      <c r="AB29" s="9">
        <f>IF(A29="","",IF(SUMPRODUCT(--EXACT($A$6:$A$105,A29))&gt;1,"TRÙNG SKU: XEM LẠI",""))</f>
        <v/>
      </c>
      <c r="AC29" s="10"/>
      <c r="AD29" s="7"/>
      <c r="AE29" s="7"/>
    </row>
    <row r="30" spans="1:31" ht="32" customHeight="1">
      <c r="A30" s="7"/>
      <c r="B30" s="7"/>
      <c r="C30" s="7"/>
      <c r="D30" s="7"/>
      <c r="E30" s="9">
        <f>IF(B30="","",IF(AND(OR(LEN(B30&amp;"")=13,LEN(B30&amp;"")=14),SUMPRODUCT(--ISNUMBER(FIND(MID(B30&amp;"",ROW($1:$14),1),"0123456789")),--(ROW($1:$14)&lt;=LEN(B30&amp;"")))=LEN(B30&amp;"")),IF(LEN(B30&amp;"")=13,"0"&amp;B30,B30&amp;""),"KIỂM TRA ĐỊNH DẠNG"))</f>
        <v/>
      </c>
      <c r="F30" s="9">
        <f>IF(C30="","",IF(AND(OR(LEN(C30&amp;"")=13,LEN(C30&amp;"")=14),SUMPRODUCT(--ISNUMBER(FIND(MID(C30&amp;"",ROW($1:$14),1),"0123456789")),--(ROW($1:$14)&lt;=LEN(C30&amp;"")))=LEN(C30&amp;"")),IF(LEN(C30&amp;"")=13,"0"&amp;C30,C30&amp;""),"KIỂM TRA ĐỊNH DẠNG"))</f>
        <v/>
      </c>
      <c r="G30" s="9">
        <f>IF(COUNTA(B30:D30)=0,"",IF(COUNTA(B30:D30)&lt;3,"THIẾU DỮ LIỆU",IF(OR(E30="KIỂM TRA ĐỊNH DẠNG",F30="KIỂM TRA ĐỊNH DẠNG",LEN(D30&amp;"")&lt;&gt;14),"KIỂM TRA ĐỊNH DẠNG",IF(AND(E30=F30,E30=D30&amp;""),"TRÙNG SỐ","LỆCH SỐ"))))</f>
        <v/>
      </c>
      <c r="H30" s="7"/>
      <c r="I30" s="7"/>
      <c r="J30" s="7"/>
      <c r="K30" s="9">
        <f>IF(COUNTA(H30:J30)=0,"",IF(COUNTA(H30:J30)&lt;3,"THIẾU DỮ LIỆU",IF(NOT(AND(AND(LEN(H30&amp;"")=10,SUMPRODUCT(--ISNUMBER(FIND(MID(H30&amp;"",ROW($1:$10),1),"0123456789")))=10),AND(LEN(I30&amp;"")=10,SUMPRODUCT(--ISNUMBER(FIND(MID(I30&amp;"",ROW($1:$10),1),"0123456789")))=10),AND(LEN(J30&amp;"")=10,SUMPRODUCT(--ISNUMBER(FIND(MID(J30&amp;"",ROW($1:$10),1),"0123456789")))=10))),"KIỂM TRA 10 CHỮ SỐ",IF(AND(H30&amp;""=I30&amp;"",H30&amp;""=J30&amp;""),"TRÙNG SỐ","LỆCH MÃ"))))</f>
        <v/>
      </c>
      <c r="L30" s="7"/>
      <c r="M30" s="7"/>
      <c r="N30" s="7"/>
      <c r="O30" s="7"/>
      <c r="P30" s="7"/>
      <c r="Q30" s="7"/>
      <c r="R30" s="7"/>
      <c r="S30" s="7"/>
      <c r="T30" s="7"/>
      <c r="U30" s="7"/>
      <c r="V30" s="7"/>
      <c r="W30" s="7"/>
      <c r="X30" s="7"/>
      <c r="Y30" s="7"/>
      <c r="Z30" s="7"/>
      <c r="AA30" s="7"/>
      <c r="AB30" s="9">
        <f>IF(A30="","",IF(SUMPRODUCT(--EXACT($A$6:$A$105,A30))&gt;1,"TRÙNG SKU: XEM LẠI",""))</f>
        <v/>
      </c>
      <c r="AC30" s="10"/>
      <c r="AD30" s="7"/>
      <c r="AE30" s="7"/>
    </row>
    <row r="31" spans="1:31" ht="32" customHeight="1">
      <c r="A31" s="7"/>
      <c r="B31" s="7"/>
      <c r="C31" s="7"/>
      <c r="D31" s="7"/>
      <c r="E31" s="9">
        <f>IF(B31="","",IF(AND(OR(LEN(B31&amp;"")=13,LEN(B31&amp;"")=14),SUMPRODUCT(--ISNUMBER(FIND(MID(B31&amp;"",ROW($1:$14),1),"0123456789")),--(ROW($1:$14)&lt;=LEN(B31&amp;"")))=LEN(B31&amp;"")),IF(LEN(B31&amp;"")=13,"0"&amp;B31,B31&amp;""),"KIỂM TRA ĐỊNH DẠNG"))</f>
        <v/>
      </c>
      <c r="F31" s="9">
        <f>IF(C31="","",IF(AND(OR(LEN(C31&amp;"")=13,LEN(C31&amp;"")=14),SUMPRODUCT(--ISNUMBER(FIND(MID(C31&amp;"",ROW($1:$14),1),"0123456789")),--(ROW($1:$14)&lt;=LEN(C31&amp;"")))=LEN(C31&amp;"")),IF(LEN(C31&amp;"")=13,"0"&amp;C31,C31&amp;""),"KIỂM TRA ĐỊNH DẠNG"))</f>
        <v/>
      </c>
      <c r="G31" s="9">
        <f>IF(COUNTA(B31:D31)=0,"",IF(COUNTA(B31:D31)&lt;3,"THIẾU DỮ LIỆU",IF(OR(E31="KIỂM TRA ĐỊNH DẠNG",F31="KIỂM TRA ĐỊNH DẠNG",LEN(D31&amp;"")&lt;&gt;14),"KIỂM TRA ĐỊNH DẠNG",IF(AND(E31=F31,E31=D31&amp;""),"TRÙNG SỐ","LỆCH SỐ"))))</f>
        <v/>
      </c>
      <c r="H31" s="7"/>
      <c r="I31" s="7"/>
      <c r="J31" s="7"/>
      <c r="K31" s="9">
        <f>IF(COUNTA(H31:J31)=0,"",IF(COUNTA(H31:J31)&lt;3,"THIẾU DỮ LIỆU",IF(NOT(AND(AND(LEN(H31&amp;"")=10,SUMPRODUCT(--ISNUMBER(FIND(MID(H31&amp;"",ROW($1:$10),1),"0123456789")))=10),AND(LEN(I31&amp;"")=10,SUMPRODUCT(--ISNUMBER(FIND(MID(I31&amp;"",ROW($1:$10),1),"0123456789")))=10),AND(LEN(J31&amp;"")=10,SUMPRODUCT(--ISNUMBER(FIND(MID(J31&amp;"",ROW($1:$10),1),"0123456789")))=10))),"KIỂM TRA 10 CHỮ SỐ",IF(AND(H31&amp;""=I31&amp;"",H31&amp;""=J31&amp;""),"TRÙNG SỐ","LỆCH MÃ"))))</f>
        <v/>
      </c>
      <c r="L31" s="7"/>
      <c r="M31" s="7"/>
      <c r="N31" s="7"/>
      <c r="O31" s="7"/>
      <c r="P31" s="7"/>
      <c r="Q31" s="7"/>
      <c r="R31" s="7"/>
      <c r="S31" s="7"/>
      <c r="T31" s="7"/>
      <c r="U31" s="7"/>
      <c r="V31" s="7"/>
      <c r="W31" s="7"/>
      <c r="X31" s="7"/>
      <c r="Y31" s="7"/>
      <c r="Z31" s="7"/>
      <c r="AA31" s="7"/>
      <c r="AB31" s="9">
        <f>IF(A31="","",IF(SUMPRODUCT(--EXACT($A$6:$A$105,A31))&gt;1,"TRÙNG SKU: XEM LẠI",""))</f>
        <v/>
      </c>
      <c r="AC31" s="10"/>
      <c r="AD31" s="7"/>
      <c r="AE31" s="7"/>
    </row>
    <row r="32" spans="1:31" ht="32" customHeight="1">
      <c r="A32" s="7"/>
      <c r="B32" s="7"/>
      <c r="C32" s="7"/>
      <c r="D32" s="7"/>
      <c r="E32" s="9">
        <f>IF(B32="","",IF(AND(OR(LEN(B32&amp;"")=13,LEN(B32&amp;"")=14),SUMPRODUCT(--ISNUMBER(FIND(MID(B32&amp;"",ROW($1:$14),1),"0123456789")),--(ROW($1:$14)&lt;=LEN(B32&amp;"")))=LEN(B32&amp;"")),IF(LEN(B32&amp;"")=13,"0"&amp;B32,B32&amp;""),"KIỂM TRA ĐỊNH DẠNG"))</f>
        <v/>
      </c>
      <c r="F32" s="9">
        <f>IF(C32="","",IF(AND(OR(LEN(C32&amp;"")=13,LEN(C32&amp;"")=14),SUMPRODUCT(--ISNUMBER(FIND(MID(C32&amp;"",ROW($1:$14),1),"0123456789")),--(ROW($1:$14)&lt;=LEN(C32&amp;"")))=LEN(C32&amp;"")),IF(LEN(C32&amp;"")=13,"0"&amp;C32,C32&amp;""),"KIỂM TRA ĐỊNH DẠNG"))</f>
        <v/>
      </c>
      <c r="G32" s="9">
        <f>IF(COUNTA(B32:D32)=0,"",IF(COUNTA(B32:D32)&lt;3,"THIẾU DỮ LIỆU",IF(OR(E32="KIỂM TRA ĐỊNH DẠNG",F32="KIỂM TRA ĐỊNH DẠNG",LEN(D32&amp;"")&lt;&gt;14),"KIỂM TRA ĐỊNH DẠNG",IF(AND(E32=F32,E32=D32&amp;""),"TRÙNG SỐ","LỆCH SỐ"))))</f>
        <v/>
      </c>
      <c r="H32" s="7"/>
      <c r="I32" s="7"/>
      <c r="J32" s="7"/>
      <c r="K32" s="9">
        <f>IF(COUNTA(H32:J32)=0,"",IF(COUNTA(H32:J32)&lt;3,"THIẾU DỮ LIỆU",IF(NOT(AND(AND(LEN(H32&amp;"")=10,SUMPRODUCT(--ISNUMBER(FIND(MID(H32&amp;"",ROW($1:$10),1),"0123456789")))=10),AND(LEN(I32&amp;"")=10,SUMPRODUCT(--ISNUMBER(FIND(MID(I32&amp;"",ROW($1:$10),1),"0123456789")))=10),AND(LEN(J32&amp;"")=10,SUMPRODUCT(--ISNUMBER(FIND(MID(J32&amp;"",ROW($1:$10),1),"0123456789")))=10))),"KIỂM TRA 10 CHỮ SỐ",IF(AND(H32&amp;""=I32&amp;"",H32&amp;""=J32&amp;""),"TRÙNG SỐ","LỆCH MÃ"))))</f>
        <v/>
      </c>
      <c r="L32" s="7"/>
      <c r="M32" s="7"/>
      <c r="N32" s="7"/>
      <c r="O32" s="7"/>
      <c r="P32" s="7"/>
      <c r="Q32" s="7"/>
      <c r="R32" s="7"/>
      <c r="S32" s="7"/>
      <c r="T32" s="7"/>
      <c r="U32" s="7"/>
      <c r="V32" s="7"/>
      <c r="W32" s="7"/>
      <c r="X32" s="7"/>
      <c r="Y32" s="7"/>
      <c r="Z32" s="7"/>
      <c r="AA32" s="7"/>
      <c r="AB32" s="9">
        <f>IF(A32="","",IF(SUMPRODUCT(--EXACT($A$6:$A$105,A32))&gt;1,"TRÙNG SKU: XEM LẠI",""))</f>
        <v/>
      </c>
      <c r="AC32" s="10"/>
      <c r="AD32" s="7"/>
      <c r="AE32" s="7"/>
    </row>
    <row r="33" spans="1:31" ht="32" customHeight="1">
      <c r="A33" s="7"/>
      <c r="B33" s="7"/>
      <c r="C33" s="7"/>
      <c r="D33" s="7"/>
      <c r="E33" s="9">
        <f>IF(B33="","",IF(AND(OR(LEN(B33&amp;"")=13,LEN(B33&amp;"")=14),SUMPRODUCT(--ISNUMBER(FIND(MID(B33&amp;"",ROW($1:$14),1),"0123456789")),--(ROW($1:$14)&lt;=LEN(B33&amp;"")))=LEN(B33&amp;"")),IF(LEN(B33&amp;"")=13,"0"&amp;B33,B33&amp;""),"KIỂM TRA ĐỊNH DẠNG"))</f>
        <v/>
      </c>
      <c r="F33" s="9">
        <f>IF(C33="","",IF(AND(OR(LEN(C33&amp;"")=13,LEN(C33&amp;"")=14),SUMPRODUCT(--ISNUMBER(FIND(MID(C33&amp;"",ROW($1:$14),1),"0123456789")),--(ROW($1:$14)&lt;=LEN(C33&amp;"")))=LEN(C33&amp;"")),IF(LEN(C33&amp;"")=13,"0"&amp;C33,C33&amp;""),"KIỂM TRA ĐỊNH DẠNG"))</f>
        <v/>
      </c>
      <c r="G33" s="9">
        <f>IF(COUNTA(B33:D33)=0,"",IF(COUNTA(B33:D33)&lt;3,"THIẾU DỮ LIỆU",IF(OR(E33="KIỂM TRA ĐỊNH DẠNG",F33="KIỂM TRA ĐỊNH DẠNG",LEN(D33&amp;"")&lt;&gt;14),"KIỂM TRA ĐỊNH DẠNG",IF(AND(E33=F33,E33=D33&amp;""),"TRÙNG SỐ","LỆCH SỐ"))))</f>
        <v/>
      </c>
      <c r="H33" s="7"/>
      <c r="I33" s="7"/>
      <c r="J33" s="7"/>
      <c r="K33" s="9">
        <f>IF(COUNTA(H33:J33)=0,"",IF(COUNTA(H33:J33)&lt;3,"THIẾU DỮ LIỆU",IF(NOT(AND(AND(LEN(H33&amp;"")=10,SUMPRODUCT(--ISNUMBER(FIND(MID(H33&amp;"",ROW($1:$10),1),"0123456789")))=10),AND(LEN(I33&amp;"")=10,SUMPRODUCT(--ISNUMBER(FIND(MID(I33&amp;"",ROW($1:$10),1),"0123456789")))=10),AND(LEN(J33&amp;"")=10,SUMPRODUCT(--ISNUMBER(FIND(MID(J33&amp;"",ROW($1:$10),1),"0123456789")))=10))),"KIỂM TRA 10 CHỮ SỐ",IF(AND(H33&amp;""=I33&amp;"",H33&amp;""=J33&amp;""),"TRÙNG SỐ","LỆCH MÃ"))))</f>
        <v/>
      </c>
      <c r="L33" s="7"/>
      <c r="M33" s="7"/>
      <c r="N33" s="7"/>
      <c r="O33" s="7"/>
      <c r="P33" s="7"/>
      <c r="Q33" s="7"/>
      <c r="R33" s="7"/>
      <c r="S33" s="7"/>
      <c r="T33" s="7"/>
      <c r="U33" s="7"/>
      <c r="V33" s="7"/>
      <c r="W33" s="7"/>
      <c r="X33" s="7"/>
      <c r="Y33" s="7"/>
      <c r="Z33" s="7"/>
      <c r="AA33" s="7"/>
      <c r="AB33" s="9">
        <f>IF(A33="","",IF(SUMPRODUCT(--EXACT($A$6:$A$105,A33))&gt;1,"TRÙNG SKU: XEM LẠI",""))</f>
        <v/>
      </c>
      <c r="AC33" s="10"/>
      <c r="AD33" s="7"/>
      <c r="AE33" s="7"/>
    </row>
    <row r="34" spans="1:31" ht="32" customHeight="1">
      <c r="A34" s="7"/>
      <c r="B34" s="7"/>
      <c r="C34" s="7"/>
      <c r="D34" s="7"/>
      <c r="E34" s="9">
        <f>IF(B34="","",IF(AND(OR(LEN(B34&amp;"")=13,LEN(B34&amp;"")=14),SUMPRODUCT(--ISNUMBER(FIND(MID(B34&amp;"",ROW($1:$14),1),"0123456789")),--(ROW($1:$14)&lt;=LEN(B34&amp;"")))=LEN(B34&amp;"")),IF(LEN(B34&amp;"")=13,"0"&amp;B34,B34&amp;""),"KIỂM TRA ĐỊNH DẠNG"))</f>
        <v/>
      </c>
      <c r="F34" s="9">
        <f>IF(C34="","",IF(AND(OR(LEN(C34&amp;"")=13,LEN(C34&amp;"")=14),SUMPRODUCT(--ISNUMBER(FIND(MID(C34&amp;"",ROW($1:$14),1),"0123456789")),--(ROW($1:$14)&lt;=LEN(C34&amp;"")))=LEN(C34&amp;"")),IF(LEN(C34&amp;"")=13,"0"&amp;C34,C34&amp;""),"KIỂM TRA ĐỊNH DẠNG"))</f>
        <v/>
      </c>
      <c r="G34" s="9">
        <f>IF(COUNTA(B34:D34)=0,"",IF(COUNTA(B34:D34)&lt;3,"THIẾU DỮ LIỆU",IF(OR(E34="KIỂM TRA ĐỊNH DẠNG",F34="KIỂM TRA ĐỊNH DẠNG",LEN(D34&amp;"")&lt;&gt;14),"KIỂM TRA ĐỊNH DẠNG",IF(AND(E34=F34,E34=D34&amp;""),"TRÙNG SỐ","LỆCH SỐ"))))</f>
        <v/>
      </c>
      <c r="H34" s="7"/>
      <c r="I34" s="7"/>
      <c r="J34" s="7"/>
      <c r="K34" s="9">
        <f>IF(COUNTA(H34:J34)=0,"",IF(COUNTA(H34:J34)&lt;3,"THIẾU DỮ LIỆU",IF(NOT(AND(AND(LEN(H34&amp;"")=10,SUMPRODUCT(--ISNUMBER(FIND(MID(H34&amp;"",ROW($1:$10),1),"0123456789")))=10),AND(LEN(I34&amp;"")=10,SUMPRODUCT(--ISNUMBER(FIND(MID(I34&amp;"",ROW($1:$10),1),"0123456789")))=10),AND(LEN(J34&amp;"")=10,SUMPRODUCT(--ISNUMBER(FIND(MID(J34&amp;"",ROW($1:$10),1),"0123456789")))=10))),"KIỂM TRA 10 CHỮ SỐ",IF(AND(H34&amp;""=I34&amp;"",H34&amp;""=J34&amp;""),"TRÙNG SỐ","LỆCH MÃ"))))</f>
        <v/>
      </c>
      <c r="L34" s="7"/>
      <c r="M34" s="7"/>
      <c r="N34" s="7"/>
      <c r="O34" s="7"/>
      <c r="P34" s="7"/>
      <c r="Q34" s="7"/>
      <c r="R34" s="7"/>
      <c r="S34" s="7"/>
      <c r="T34" s="7"/>
      <c r="U34" s="7"/>
      <c r="V34" s="7"/>
      <c r="W34" s="7"/>
      <c r="X34" s="7"/>
      <c r="Y34" s="7"/>
      <c r="Z34" s="7"/>
      <c r="AA34" s="7"/>
      <c r="AB34" s="9">
        <f>IF(A34="","",IF(SUMPRODUCT(--EXACT($A$6:$A$105,A34))&gt;1,"TRÙNG SKU: XEM LẠI",""))</f>
        <v/>
      </c>
      <c r="AC34" s="10"/>
      <c r="AD34" s="7"/>
      <c r="AE34" s="7"/>
    </row>
    <row r="35" spans="1:31" ht="32" customHeight="1">
      <c r="A35" s="7"/>
      <c r="B35" s="7"/>
      <c r="C35" s="7"/>
      <c r="D35" s="7"/>
      <c r="E35" s="9">
        <f>IF(B35="","",IF(AND(OR(LEN(B35&amp;"")=13,LEN(B35&amp;"")=14),SUMPRODUCT(--ISNUMBER(FIND(MID(B35&amp;"",ROW($1:$14),1),"0123456789")),--(ROW($1:$14)&lt;=LEN(B35&amp;"")))=LEN(B35&amp;"")),IF(LEN(B35&amp;"")=13,"0"&amp;B35,B35&amp;""),"KIỂM TRA ĐỊNH DẠNG"))</f>
        <v/>
      </c>
      <c r="F35" s="9">
        <f>IF(C35="","",IF(AND(OR(LEN(C35&amp;"")=13,LEN(C35&amp;"")=14),SUMPRODUCT(--ISNUMBER(FIND(MID(C35&amp;"",ROW($1:$14),1),"0123456789")),--(ROW($1:$14)&lt;=LEN(C35&amp;"")))=LEN(C35&amp;"")),IF(LEN(C35&amp;"")=13,"0"&amp;C35,C35&amp;""),"KIỂM TRA ĐỊNH DẠNG"))</f>
        <v/>
      </c>
      <c r="G35" s="9">
        <f>IF(COUNTA(B35:D35)=0,"",IF(COUNTA(B35:D35)&lt;3,"THIẾU DỮ LIỆU",IF(OR(E35="KIỂM TRA ĐỊNH DẠNG",F35="KIỂM TRA ĐỊNH DẠNG",LEN(D35&amp;"")&lt;&gt;14),"KIỂM TRA ĐỊNH DẠNG",IF(AND(E35=F35,E35=D35&amp;""),"TRÙNG SỐ","LỆCH SỐ"))))</f>
        <v/>
      </c>
      <c r="H35" s="7"/>
      <c r="I35" s="7"/>
      <c r="J35" s="7"/>
      <c r="K35" s="9">
        <f>IF(COUNTA(H35:J35)=0,"",IF(COUNTA(H35:J35)&lt;3,"THIẾU DỮ LIỆU",IF(NOT(AND(AND(LEN(H35&amp;"")=10,SUMPRODUCT(--ISNUMBER(FIND(MID(H35&amp;"",ROW($1:$10),1),"0123456789")))=10),AND(LEN(I35&amp;"")=10,SUMPRODUCT(--ISNUMBER(FIND(MID(I35&amp;"",ROW($1:$10),1),"0123456789")))=10),AND(LEN(J35&amp;"")=10,SUMPRODUCT(--ISNUMBER(FIND(MID(J35&amp;"",ROW($1:$10),1),"0123456789")))=10))),"KIỂM TRA 10 CHỮ SỐ",IF(AND(H35&amp;""=I35&amp;"",H35&amp;""=J35&amp;""),"TRÙNG SỐ","LỆCH MÃ"))))</f>
        <v/>
      </c>
      <c r="L35" s="7"/>
      <c r="M35" s="7"/>
      <c r="N35" s="7"/>
      <c r="O35" s="7"/>
      <c r="P35" s="7"/>
      <c r="Q35" s="7"/>
      <c r="R35" s="7"/>
      <c r="S35" s="7"/>
      <c r="T35" s="7"/>
      <c r="U35" s="7"/>
      <c r="V35" s="7"/>
      <c r="W35" s="7"/>
      <c r="X35" s="7"/>
      <c r="Y35" s="7"/>
      <c r="Z35" s="7"/>
      <c r="AA35" s="7"/>
      <c r="AB35" s="9">
        <f>IF(A35="","",IF(SUMPRODUCT(--EXACT($A$6:$A$105,A35))&gt;1,"TRÙNG SKU: XEM LẠI",""))</f>
        <v/>
      </c>
      <c r="AC35" s="10"/>
      <c r="AD35" s="7"/>
      <c r="AE35" s="7"/>
    </row>
    <row r="36" spans="1:31" ht="32" customHeight="1">
      <c r="A36" s="7"/>
      <c r="B36" s="7"/>
      <c r="C36" s="7"/>
      <c r="D36" s="7"/>
      <c r="E36" s="9">
        <f>IF(B36="","",IF(AND(OR(LEN(B36&amp;"")=13,LEN(B36&amp;"")=14),SUMPRODUCT(--ISNUMBER(FIND(MID(B36&amp;"",ROW($1:$14),1),"0123456789")),--(ROW($1:$14)&lt;=LEN(B36&amp;"")))=LEN(B36&amp;"")),IF(LEN(B36&amp;"")=13,"0"&amp;B36,B36&amp;""),"KIỂM TRA ĐỊNH DẠNG"))</f>
        <v/>
      </c>
      <c r="F36" s="9">
        <f>IF(C36="","",IF(AND(OR(LEN(C36&amp;"")=13,LEN(C36&amp;"")=14),SUMPRODUCT(--ISNUMBER(FIND(MID(C36&amp;"",ROW($1:$14),1),"0123456789")),--(ROW($1:$14)&lt;=LEN(C36&amp;"")))=LEN(C36&amp;"")),IF(LEN(C36&amp;"")=13,"0"&amp;C36,C36&amp;""),"KIỂM TRA ĐỊNH DẠNG"))</f>
        <v/>
      </c>
      <c r="G36" s="9">
        <f>IF(COUNTA(B36:D36)=0,"",IF(COUNTA(B36:D36)&lt;3,"THIẾU DỮ LIỆU",IF(OR(E36="KIỂM TRA ĐỊNH DẠNG",F36="KIỂM TRA ĐỊNH DẠNG",LEN(D36&amp;"")&lt;&gt;14),"KIỂM TRA ĐỊNH DẠNG",IF(AND(E36=F36,E36=D36&amp;""),"TRÙNG SỐ","LỆCH SỐ"))))</f>
        <v/>
      </c>
      <c r="H36" s="7"/>
      <c r="I36" s="7"/>
      <c r="J36" s="7"/>
      <c r="K36" s="9">
        <f>IF(COUNTA(H36:J36)=0,"",IF(COUNTA(H36:J36)&lt;3,"THIẾU DỮ LIỆU",IF(NOT(AND(AND(LEN(H36&amp;"")=10,SUMPRODUCT(--ISNUMBER(FIND(MID(H36&amp;"",ROW($1:$10),1),"0123456789")))=10),AND(LEN(I36&amp;"")=10,SUMPRODUCT(--ISNUMBER(FIND(MID(I36&amp;"",ROW($1:$10),1),"0123456789")))=10),AND(LEN(J36&amp;"")=10,SUMPRODUCT(--ISNUMBER(FIND(MID(J36&amp;"",ROW($1:$10),1),"0123456789")))=10))),"KIỂM TRA 10 CHỮ SỐ",IF(AND(H36&amp;""=I36&amp;"",H36&amp;""=J36&amp;""),"TRÙNG SỐ","LỆCH MÃ"))))</f>
        <v/>
      </c>
      <c r="L36" s="7"/>
      <c r="M36" s="7"/>
      <c r="N36" s="7"/>
      <c r="O36" s="7"/>
      <c r="P36" s="7"/>
      <c r="Q36" s="7"/>
      <c r="R36" s="7"/>
      <c r="S36" s="7"/>
      <c r="T36" s="7"/>
      <c r="U36" s="7"/>
      <c r="V36" s="7"/>
      <c r="W36" s="7"/>
      <c r="X36" s="7"/>
      <c r="Y36" s="7"/>
      <c r="Z36" s="7"/>
      <c r="AA36" s="7"/>
      <c r="AB36" s="9">
        <f>IF(A36="","",IF(SUMPRODUCT(--EXACT($A$6:$A$105,A36))&gt;1,"TRÙNG SKU: XEM LẠI",""))</f>
        <v/>
      </c>
      <c r="AC36" s="10"/>
      <c r="AD36" s="7"/>
      <c r="AE36" s="7"/>
    </row>
    <row r="37" spans="1:31" ht="32" customHeight="1">
      <c r="A37" s="7"/>
      <c r="B37" s="7"/>
      <c r="C37" s="7"/>
      <c r="D37" s="7"/>
      <c r="E37" s="9">
        <f>IF(B37="","",IF(AND(OR(LEN(B37&amp;"")=13,LEN(B37&amp;"")=14),SUMPRODUCT(--ISNUMBER(FIND(MID(B37&amp;"",ROW($1:$14),1),"0123456789")),--(ROW($1:$14)&lt;=LEN(B37&amp;"")))=LEN(B37&amp;"")),IF(LEN(B37&amp;"")=13,"0"&amp;B37,B37&amp;""),"KIỂM TRA ĐỊNH DẠNG"))</f>
        <v/>
      </c>
      <c r="F37" s="9">
        <f>IF(C37="","",IF(AND(OR(LEN(C37&amp;"")=13,LEN(C37&amp;"")=14),SUMPRODUCT(--ISNUMBER(FIND(MID(C37&amp;"",ROW($1:$14),1),"0123456789")),--(ROW($1:$14)&lt;=LEN(C37&amp;"")))=LEN(C37&amp;"")),IF(LEN(C37&amp;"")=13,"0"&amp;C37,C37&amp;""),"KIỂM TRA ĐỊNH DẠNG"))</f>
        <v/>
      </c>
      <c r="G37" s="9">
        <f>IF(COUNTA(B37:D37)=0,"",IF(COUNTA(B37:D37)&lt;3,"THIẾU DỮ LIỆU",IF(OR(E37="KIỂM TRA ĐỊNH DẠNG",F37="KIỂM TRA ĐỊNH DẠNG",LEN(D37&amp;"")&lt;&gt;14),"KIỂM TRA ĐỊNH DẠNG",IF(AND(E37=F37,E37=D37&amp;""),"TRÙNG SỐ","LỆCH SỐ"))))</f>
        <v/>
      </c>
      <c r="H37" s="7"/>
      <c r="I37" s="7"/>
      <c r="J37" s="7"/>
      <c r="K37" s="9">
        <f>IF(COUNTA(H37:J37)=0,"",IF(COUNTA(H37:J37)&lt;3,"THIẾU DỮ LIỆU",IF(NOT(AND(AND(LEN(H37&amp;"")=10,SUMPRODUCT(--ISNUMBER(FIND(MID(H37&amp;"",ROW($1:$10),1),"0123456789")))=10),AND(LEN(I37&amp;"")=10,SUMPRODUCT(--ISNUMBER(FIND(MID(I37&amp;"",ROW($1:$10),1),"0123456789")))=10),AND(LEN(J37&amp;"")=10,SUMPRODUCT(--ISNUMBER(FIND(MID(J37&amp;"",ROW($1:$10),1),"0123456789")))=10))),"KIỂM TRA 10 CHỮ SỐ",IF(AND(H37&amp;""=I37&amp;"",H37&amp;""=J37&amp;""),"TRÙNG SỐ","LỆCH MÃ"))))</f>
        <v/>
      </c>
      <c r="L37" s="7"/>
      <c r="M37" s="7"/>
      <c r="N37" s="7"/>
      <c r="O37" s="7"/>
      <c r="P37" s="7"/>
      <c r="Q37" s="7"/>
      <c r="R37" s="7"/>
      <c r="S37" s="7"/>
      <c r="T37" s="7"/>
      <c r="U37" s="7"/>
      <c r="V37" s="7"/>
      <c r="W37" s="7"/>
      <c r="X37" s="7"/>
      <c r="Y37" s="7"/>
      <c r="Z37" s="7"/>
      <c r="AA37" s="7"/>
      <c r="AB37" s="9">
        <f>IF(A37="","",IF(SUMPRODUCT(--EXACT($A$6:$A$105,A37))&gt;1,"TRÙNG SKU: XEM LẠI",""))</f>
        <v/>
      </c>
      <c r="AC37" s="10"/>
      <c r="AD37" s="7"/>
      <c r="AE37" s="7"/>
    </row>
    <row r="38" spans="1:31" ht="32" customHeight="1">
      <c r="A38" s="7"/>
      <c r="B38" s="7"/>
      <c r="C38" s="7"/>
      <c r="D38" s="7"/>
      <c r="E38" s="9">
        <f>IF(B38="","",IF(AND(OR(LEN(B38&amp;"")=13,LEN(B38&amp;"")=14),SUMPRODUCT(--ISNUMBER(FIND(MID(B38&amp;"",ROW($1:$14),1),"0123456789")),--(ROW($1:$14)&lt;=LEN(B38&amp;"")))=LEN(B38&amp;"")),IF(LEN(B38&amp;"")=13,"0"&amp;B38,B38&amp;""),"KIỂM TRA ĐỊNH DẠNG"))</f>
        <v/>
      </c>
      <c r="F38" s="9">
        <f>IF(C38="","",IF(AND(OR(LEN(C38&amp;"")=13,LEN(C38&amp;"")=14),SUMPRODUCT(--ISNUMBER(FIND(MID(C38&amp;"",ROW($1:$14),1),"0123456789")),--(ROW($1:$14)&lt;=LEN(C38&amp;"")))=LEN(C38&amp;"")),IF(LEN(C38&amp;"")=13,"0"&amp;C38,C38&amp;""),"KIỂM TRA ĐỊNH DẠNG"))</f>
        <v/>
      </c>
      <c r="G38" s="9">
        <f>IF(COUNTA(B38:D38)=0,"",IF(COUNTA(B38:D38)&lt;3,"THIẾU DỮ LIỆU",IF(OR(E38="KIỂM TRA ĐỊNH DẠNG",F38="KIỂM TRA ĐỊNH DẠNG",LEN(D38&amp;"")&lt;&gt;14),"KIỂM TRA ĐỊNH DẠNG",IF(AND(E38=F38,E38=D38&amp;""),"TRÙNG SỐ","LỆCH SỐ"))))</f>
        <v/>
      </c>
      <c r="H38" s="7"/>
      <c r="I38" s="7"/>
      <c r="J38" s="7"/>
      <c r="K38" s="9">
        <f>IF(COUNTA(H38:J38)=0,"",IF(COUNTA(H38:J38)&lt;3,"THIẾU DỮ LIỆU",IF(NOT(AND(AND(LEN(H38&amp;"")=10,SUMPRODUCT(--ISNUMBER(FIND(MID(H38&amp;"",ROW($1:$10),1),"0123456789")))=10),AND(LEN(I38&amp;"")=10,SUMPRODUCT(--ISNUMBER(FIND(MID(I38&amp;"",ROW($1:$10),1),"0123456789")))=10),AND(LEN(J38&amp;"")=10,SUMPRODUCT(--ISNUMBER(FIND(MID(J38&amp;"",ROW($1:$10),1),"0123456789")))=10))),"KIỂM TRA 10 CHỮ SỐ",IF(AND(H38&amp;""=I38&amp;"",H38&amp;""=J38&amp;""),"TRÙNG SỐ","LỆCH MÃ"))))</f>
        <v/>
      </c>
      <c r="L38" s="7"/>
      <c r="M38" s="7"/>
      <c r="N38" s="7"/>
      <c r="O38" s="7"/>
      <c r="P38" s="7"/>
      <c r="Q38" s="7"/>
      <c r="R38" s="7"/>
      <c r="S38" s="7"/>
      <c r="T38" s="7"/>
      <c r="U38" s="7"/>
      <c r="V38" s="7"/>
      <c r="W38" s="7"/>
      <c r="X38" s="7"/>
      <c r="Y38" s="7"/>
      <c r="Z38" s="7"/>
      <c r="AA38" s="7"/>
      <c r="AB38" s="9">
        <f>IF(A38="","",IF(SUMPRODUCT(--EXACT($A$6:$A$105,A38))&gt;1,"TRÙNG SKU: XEM LẠI",""))</f>
        <v/>
      </c>
      <c r="AC38" s="10"/>
      <c r="AD38" s="7"/>
      <c r="AE38" s="7"/>
    </row>
    <row r="39" spans="1:31" ht="32" customHeight="1">
      <c r="A39" s="7"/>
      <c r="B39" s="7"/>
      <c r="C39" s="7"/>
      <c r="D39" s="7"/>
      <c r="E39" s="9">
        <f>IF(B39="","",IF(AND(OR(LEN(B39&amp;"")=13,LEN(B39&amp;"")=14),SUMPRODUCT(--ISNUMBER(FIND(MID(B39&amp;"",ROW($1:$14),1),"0123456789")),--(ROW($1:$14)&lt;=LEN(B39&amp;"")))=LEN(B39&amp;"")),IF(LEN(B39&amp;"")=13,"0"&amp;B39,B39&amp;""),"KIỂM TRA ĐỊNH DẠNG"))</f>
        <v/>
      </c>
      <c r="F39" s="9">
        <f>IF(C39="","",IF(AND(OR(LEN(C39&amp;"")=13,LEN(C39&amp;"")=14),SUMPRODUCT(--ISNUMBER(FIND(MID(C39&amp;"",ROW($1:$14),1),"0123456789")),--(ROW($1:$14)&lt;=LEN(C39&amp;"")))=LEN(C39&amp;"")),IF(LEN(C39&amp;"")=13,"0"&amp;C39,C39&amp;""),"KIỂM TRA ĐỊNH DẠNG"))</f>
        <v/>
      </c>
      <c r="G39" s="9">
        <f>IF(COUNTA(B39:D39)=0,"",IF(COUNTA(B39:D39)&lt;3,"THIẾU DỮ LIỆU",IF(OR(E39="KIỂM TRA ĐỊNH DẠNG",F39="KIỂM TRA ĐỊNH DẠNG",LEN(D39&amp;"")&lt;&gt;14),"KIỂM TRA ĐỊNH DẠNG",IF(AND(E39=F39,E39=D39&amp;""),"TRÙNG SỐ","LỆCH SỐ"))))</f>
        <v/>
      </c>
      <c r="H39" s="7"/>
      <c r="I39" s="7"/>
      <c r="J39" s="7"/>
      <c r="K39" s="9">
        <f>IF(COUNTA(H39:J39)=0,"",IF(COUNTA(H39:J39)&lt;3,"THIẾU DỮ LIỆU",IF(NOT(AND(AND(LEN(H39&amp;"")=10,SUMPRODUCT(--ISNUMBER(FIND(MID(H39&amp;"",ROW($1:$10),1),"0123456789")))=10),AND(LEN(I39&amp;"")=10,SUMPRODUCT(--ISNUMBER(FIND(MID(I39&amp;"",ROW($1:$10),1),"0123456789")))=10),AND(LEN(J39&amp;"")=10,SUMPRODUCT(--ISNUMBER(FIND(MID(J39&amp;"",ROW($1:$10),1),"0123456789")))=10))),"KIỂM TRA 10 CHỮ SỐ",IF(AND(H39&amp;""=I39&amp;"",H39&amp;""=J39&amp;""),"TRÙNG SỐ","LỆCH MÃ"))))</f>
        <v/>
      </c>
      <c r="L39" s="7"/>
      <c r="M39" s="7"/>
      <c r="N39" s="7"/>
      <c r="O39" s="7"/>
      <c r="P39" s="7"/>
      <c r="Q39" s="7"/>
      <c r="R39" s="7"/>
      <c r="S39" s="7"/>
      <c r="T39" s="7"/>
      <c r="U39" s="7"/>
      <c r="V39" s="7"/>
      <c r="W39" s="7"/>
      <c r="X39" s="7"/>
      <c r="Y39" s="7"/>
      <c r="Z39" s="7"/>
      <c r="AA39" s="7"/>
      <c r="AB39" s="9">
        <f>IF(A39="","",IF(SUMPRODUCT(--EXACT($A$6:$A$105,A39))&gt;1,"TRÙNG SKU: XEM LẠI",""))</f>
        <v/>
      </c>
      <c r="AC39" s="10"/>
      <c r="AD39" s="7"/>
      <c r="AE39" s="7"/>
    </row>
    <row r="40" spans="1:31" ht="32" customHeight="1">
      <c r="A40" s="7"/>
      <c r="B40" s="7"/>
      <c r="C40" s="7"/>
      <c r="D40" s="7"/>
      <c r="E40" s="9">
        <f>IF(B40="","",IF(AND(OR(LEN(B40&amp;"")=13,LEN(B40&amp;"")=14),SUMPRODUCT(--ISNUMBER(FIND(MID(B40&amp;"",ROW($1:$14),1),"0123456789")),--(ROW($1:$14)&lt;=LEN(B40&amp;"")))=LEN(B40&amp;"")),IF(LEN(B40&amp;"")=13,"0"&amp;B40,B40&amp;""),"KIỂM TRA ĐỊNH DẠNG"))</f>
        <v/>
      </c>
      <c r="F40" s="9">
        <f>IF(C40="","",IF(AND(OR(LEN(C40&amp;"")=13,LEN(C40&amp;"")=14),SUMPRODUCT(--ISNUMBER(FIND(MID(C40&amp;"",ROW($1:$14),1),"0123456789")),--(ROW($1:$14)&lt;=LEN(C40&amp;"")))=LEN(C40&amp;"")),IF(LEN(C40&amp;"")=13,"0"&amp;C40,C40&amp;""),"KIỂM TRA ĐỊNH DẠNG"))</f>
        <v/>
      </c>
      <c r="G40" s="9">
        <f>IF(COUNTA(B40:D40)=0,"",IF(COUNTA(B40:D40)&lt;3,"THIẾU DỮ LIỆU",IF(OR(E40="KIỂM TRA ĐỊNH DẠNG",F40="KIỂM TRA ĐỊNH DẠNG",LEN(D40&amp;"")&lt;&gt;14),"KIỂM TRA ĐỊNH DẠNG",IF(AND(E40=F40,E40=D40&amp;""),"TRÙNG SỐ","LỆCH SỐ"))))</f>
        <v/>
      </c>
      <c r="H40" s="7"/>
      <c r="I40" s="7"/>
      <c r="J40" s="7"/>
      <c r="K40" s="9">
        <f>IF(COUNTA(H40:J40)=0,"",IF(COUNTA(H40:J40)&lt;3,"THIẾU DỮ LIỆU",IF(NOT(AND(AND(LEN(H40&amp;"")=10,SUMPRODUCT(--ISNUMBER(FIND(MID(H40&amp;"",ROW($1:$10),1),"0123456789")))=10),AND(LEN(I40&amp;"")=10,SUMPRODUCT(--ISNUMBER(FIND(MID(I40&amp;"",ROW($1:$10),1),"0123456789")))=10),AND(LEN(J40&amp;"")=10,SUMPRODUCT(--ISNUMBER(FIND(MID(J40&amp;"",ROW($1:$10),1),"0123456789")))=10))),"KIỂM TRA 10 CHỮ SỐ",IF(AND(H40&amp;""=I40&amp;"",H40&amp;""=J40&amp;""),"TRÙNG SỐ","LỆCH MÃ"))))</f>
        <v/>
      </c>
      <c r="L40" s="7"/>
      <c r="M40" s="7"/>
      <c r="N40" s="7"/>
      <c r="O40" s="7"/>
      <c r="P40" s="7"/>
      <c r="Q40" s="7"/>
      <c r="R40" s="7"/>
      <c r="S40" s="7"/>
      <c r="T40" s="7"/>
      <c r="U40" s="7"/>
      <c r="V40" s="7"/>
      <c r="W40" s="7"/>
      <c r="X40" s="7"/>
      <c r="Y40" s="7"/>
      <c r="Z40" s="7"/>
      <c r="AA40" s="7"/>
      <c r="AB40" s="9">
        <f>IF(A40="","",IF(SUMPRODUCT(--EXACT($A$6:$A$105,A40))&gt;1,"TRÙNG SKU: XEM LẠI",""))</f>
        <v/>
      </c>
      <c r="AC40" s="10"/>
      <c r="AD40" s="7"/>
      <c r="AE40" s="7"/>
    </row>
    <row r="41" spans="1:31" ht="32" customHeight="1">
      <c r="A41" s="7"/>
      <c r="B41" s="7"/>
      <c r="C41" s="7"/>
      <c r="D41" s="7"/>
      <c r="E41" s="9">
        <f>IF(B41="","",IF(AND(OR(LEN(B41&amp;"")=13,LEN(B41&amp;"")=14),SUMPRODUCT(--ISNUMBER(FIND(MID(B41&amp;"",ROW($1:$14),1),"0123456789")),--(ROW($1:$14)&lt;=LEN(B41&amp;"")))=LEN(B41&amp;"")),IF(LEN(B41&amp;"")=13,"0"&amp;B41,B41&amp;""),"KIỂM TRA ĐỊNH DẠNG"))</f>
        <v/>
      </c>
      <c r="F41" s="9">
        <f>IF(C41="","",IF(AND(OR(LEN(C41&amp;"")=13,LEN(C41&amp;"")=14),SUMPRODUCT(--ISNUMBER(FIND(MID(C41&amp;"",ROW($1:$14),1),"0123456789")),--(ROW($1:$14)&lt;=LEN(C41&amp;"")))=LEN(C41&amp;"")),IF(LEN(C41&amp;"")=13,"0"&amp;C41,C41&amp;""),"KIỂM TRA ĐỊNH DẠNG"))</f>
        <v/>
      </c>
      <c r="G41" s="9">
        <f>IF(COUNTA(B41:D41)=0,"",IF(COUNTA(B41:D41)&lt;3,"THIẾU DỮ LIỆU",IF(OR(E41="KIỂM TRA ĐỊNH DẠNG",F41="KIỂM TRA ĐỊNH DẠNG",LEN(D41&amp;"")&lt;&gt;14),"KIỂM TRA ĐỊNH DẠNG",IF(AND(E41=F41,E41=D41&amp;""),"TRÙNG SỐ","LỆCH SỐ"))))</f>
        <v/>
      </c>
      <c r="H41" s="7"/>
      <c r="I41" s="7"/>
      <c r="J41" s="7"/>
      <c r="K41" s="9">
        <f>IF(COUNTA(H41:J41)=0,"",IF(COUNTA(H41:J41)&lt;3,"THIẾU DỮ LIỆU",IF(NOT(AND(AND(LEN(H41&amp;"")=10,SUMPRODUCT(--ISNUMBER(FIND(MID(H41&amp;"",ROW($1:$10),1),"0123456789")))=10),AND(LEN(I41&amp;"")=10,SUMPRODUCT(--ISNUMBER(FIND(MID(I41&amp;"",ROW($1:$10),1),"0123456789")))=10),AND(LEN(J41&amp;"")=10,SUMPRODUCT(--ISNUMBER(FIND(MID(J41&amp;"",ROW($1:$10),1),"0123456789")))=10))),"KIỂM TRA 10 CHỮ SỐ",IF(AND(H41&amp;""=I41&amp;"",H41&amp;""=J41&amp;""),"TRÙNG SỐ","LỆCH MÃ"))))</f>
        <v/>
      </c>
      <c r="L41" s="7"/>
      <c r="M41" s="7"/>
      <c r="N41" s="7"/>
      <c r="O41" s="7"/>
      <c r="P41" s="7"/>
      <c r="Q41" s="7"/>
      <c r="R41" s="7"/>
      <c r="S41" s="7"/>
      <c r="T41" s="7"/>
      <c r="U41" s="7"/>
      <c r="V41" s="7"/>
      <c r="W41" s="7"/>
      <c r="X41" s="7"/>
      <c r="Y41" s="7"/>
      <c r="Z41" s="7"/>
      <c r="AA41" s="7"/>
      <c r="AB41" s="9">
        <f>IF(A41="","",IF(SUMPRODUCT(--EXACT($A$6:$A$105,A41))&gt;1,"TRÙNG SKU: XEM LẠI",""))</f>
        <v/>
      </c>
      <c r="AC41" s="10"/>
      <c r="AD41" s="7"/>
      <c r="AE41" s="7"/>
    </row>
    <row r="42" spans="1:31" ht="32" customHeight="1">
      <c r="A42" s="7"/>
      <c r="B42" s="7"/>
      <c r="C42" s="7"/>
      <c r="D42" s="7"/>
      <c r="E42" s="9">
        <f>IF(B42="","",IF(AND(OR(LEN(B42&amp;"")=13,LEN(B42&amp;"")=14),SUMPRODUCT(--ISNUMBER(FIND(MID(B42&amp;"",ROW($1:$14),1),"0123456789")),--(ROW($1:$14)&lt;=LEN(B42&amp;"")))=LEN(B42&amp;"")),IF(LEN(B42&amp;"")=13,"0"&amp;B42,B42&amp;""),"KIỂM TRA ĐỊNH DẠNG"))</f>
        <v/>
      </c>
      <c r="F42" s="9">
        <f>IF(C42="","",IF(AND(OR(LEN(C42&amp;"")=13,LEN(C42&amp;"")=14),SUMPRODUCT(--ISNUMBER(FIND(MID(C42&amp;"",ROW($1:$14),1),"0123456789")),--(ROW($1:$14)&lt;=LEN(C42&amp;"")))=LEN(C42&amp;"")),IF(LEN(C42&amp;"")=13,"0"&amp;C42,C42&amp;""),"KIỂM TRA ĐỊNH DẠNG"))</f>
        <v/>
      </c>
      <c r="G42" s="9">
        <f>IF(COUNTA(B42:D42)=0,"",IF(COUNTA(B42:D42)&lt;3,"THIẾU DỮ LIỆU",IF(OR(E42="KIỂM TRA ĐỊNH DẠNG",F42="KIỂM TRA ĐỊNH DẠNG",LEN(D42&amp;"")&lt;&gt;14),"KIỂM TRA ĐỊNH DẠNG",IF(AND(E42=F42,E42=D42&amp;""),"TRÙNG SỐ","LỆCH SỐ"))))</f>
        <v/>
      </c>
      <c r="H42" s="7"/>
      <c r="I42" s="7"/>
      <c r="J42" s="7"/>
      <c r="K42" s="9">
        <f>IF(COUNTA(H42:J42)=0,"",IF(COUNTA(H42:J42)&lt;3,"THIẾU DỮ LIỆU",IF(NOT(AND(AND(LEN(H42&amp;"")=10,SUMPRODUCT(--ISNUMBER(FIND(MID(H42&amp;"",ROW($1:$10),1),"0123456789")))=10),AND(LEN(I42&amp;"")=10,SUMPRODUCT(--ISNUMBER(FIND(MID(I42&amp;"",ROW($1:$10),1),"0123456789")))=10),AND(LEN(J42&amp;"")=10,SUMPRODUCT(--ISNUMBER(FIND(MID(J42&amp;"",ROW($1:$10),1),"0123456789")))=10))),"KIỂM TRA 10 CHỮ SỐ",IF(AND(H42&amp;""=I42&amp;"",H42&amp;""=J42&amp;""),"TRÙNG SỐ","LỆCH MÃ"))))</f>
        <v/>
      </c>
      <c r="L42" s="7"/>
      <c r="M42" s="7"/>
      <c r="N42" s="7"/>
      <c r="O42" s="7"/>
      <c r="P42" s="7"/>
      <c r="Q42" s="7"/>
      <c r="R42" s="7"/>
      <c r="S42" s="7"/>
      <c r="T42" s="7"/>
      <c r="U42" s="7"/>
      <c r="V42" s="7"/>
      <c r="W42" s="7"/>
      <c r="X42" s="7"/>
      <c r="Y42" s="7"/>
      <c r="Z42" s="7"/>
      <c r="AA42" s="7"/>
      <c r="AB42" s="9">
        <f>IF(A42="","",IF(SUMPRODUCT(--EXACT($A$6:$A$105,A42))&gt;1,"TRÙNG SKU: XEM LẠI",""))</f>
        <v/>
      </c>
      <c r="AC42" s="10"/>
      <c r="AD42" s="7"/>
      <c r="AE42" s="7"/>
    </row>
    <row r="43" spans="1:31" ht="32" customHeight="1">
      <c r="A43" s="7"/>
      <c r="B43" s="7"/>
      <c r="C43" s="7"/>
      <c r="D43" s="7"/>
      <c r="E43" s="9">
        <f>IF(B43="","",IF(AND(OR(LEN(B43&amp;"")=13,LEN(B43&amp;"")=14),SUMPRODUCT(--ISNUMBER(FIND(MID(B43&amp;"",ROW($1:$14),1),"0123456789")),--(ROW($1:$14)&lt;=LEN(B43&amp;"")))=LEN(B43&amp;"")),IF(LEN(B43&amp;"")=13,"0"&amp;B43,B43&amp;""),"KIỂM TRA ĐỊNH DẠNG"))</f>
        <v/>
      </c>
      <c r="F43" s="9">
        <f>IF(C43="","",IF(AND(OR(LEN(C43&amp;"")=13,LEN(C43&amp;"")=14),SUMPRODUCT(--ISNUMBER(FIND(MID(C43&amp;"",ROW($1:$14),1),"0123456789")),--(ROW($1:$14)&lt;=LEN(C43&amp;"")))=LEN(C43&amp;"")),IF(LEN(C43&amp;"")=13,"0"&amp;C43,C43&amp;""),"KIỂM TRA ĐỊNH DẠNG"))</f>
        <v/>
      </c>
      <c r="G43" s="9">
        <f>IF(COUNTA(B43:D43)=0,"",IF(COUNTA(B43:D43)&lt;3,"THIẾU DỮ LIỆU",IF(OR(E43="KIỂM TRA ĐỊNH DẠNG",F43="KIỂM TRA ĐỊNH DẠNG",LEN(D43&amp;"")&lt;&gt;14),"KIỂM TRA ĐỊNH DẠNG",IF(AND(E43=F43,E43=D43&amp;""),"TRÙNG SỐ","LỆCH SỐ"))))</f>
        <v/>
      </c>
      <c r="H43" s="7"/>
      <c r="I43" s="7"/>
      <c r="J43" s="7"/>
      <c r="K43" s="9">
        <f>IF(COUNTA(H43:J43)=0,"",IF(COUNTA(H43:J43)&lt;3,"THIẾU DỮ LIỆU",IF(NOT(AND(AND(LEN(H43&amp;"")=10,SUMPRODUCT(--ISNUMBER(FIND(MID(H43&amp;"",ROW($1:$10),1),"0123456789")))=10),AND(LEN(I43&amp;"")=10,SUMPRODUCT(--ISNUMBER(FIND(MID(I43&amp;"",ROW($1:$10),1),"0123456789")))=10),AND(LEN(J43&amp;"")=10,SUMPRODUCT(--ISNUMBER(FIND(MID(J43&amp;"",ROW($1:$10),1),"0123456789")))=10))),"KIỂM TRA 10 CHỮ SỐ",IF(AND(H43&amp;""=I43&amp;"",H43&amp;""=J43&amp;""),"TRÙNG SỐ","LỆCH MÃ"))))</f>
        <v/>
      </c>
      <c r="L43" s="7"/>
      <c r="M43" s="7"/>
      <c r="N43" s="7"/>
      <c r="O43" s="7"/>
      <c r="P43" s="7"/>
      <c r="Q43" s="7"/>
      <c r="R43" s="7"/>
      <c r="S43" s="7"/>
      <c r="T43" s="7"/>
      <c r="U43" s="7"/>
      <c r="V43" s="7"/>
      <c r="W43" s="7"/>
      <c r="X43" s="7"/>
      <c r="Y43" s="7"/>
      <c r="Z43" s="7"/>
      <c r="AA43" s="7"/>
      <c r="AB43" s="9">
        <f>IF(A43="","",IF(SUMPRODUCT(--EXACT($A$6:$A$105,A43))&gt;1,"TRÙNG SKU: XEM LẠI",""))</f>
        <v/>
      </c>
      <c r="AC43" s="10"/>
      <c r="AD43" s="7"/>
      <c r="AE43" s="7"/>
    </row>
    <row r="44" spans="1:31" ht="32" customHeight="1">
      <c r="A44" s="7"/>
      <c r="B44" s="7"/>
      <c r="C44" s="7"/>
      <c r="D44" s="7"/>
      <c r="E44" s="9">
        <f>IF(B44="","",IF(AND(OR(LEN(B44&amp;"")=13,LEN(B44&amp;"")=14),SUMPRODUCT(--ISNUMBER(FIND(MID(B44&amp;"",ROW($1:$14),1),"0123456789")),--(ROW($1:$14)&lt;=LEN(B44&amp;"")))=LEN(B44&amp;"")),IF(LEN(B44&amp;"")=13,"0"&amp;B44,B44&amp;""),"KIỂM TRA ĐỊNH DẠNG"))</f>
        <v/>
      </c>
      <c r="F44" s="9">
        <f>IF(C44="","",IF(AND(OR(LEN(C44&amp;"")=13,LEN(C44&amp;"")=14),SUMPRODUCT(--ISNUMBER(FIND(MID(C44&amp;"",ROW($1:$14),1),"0123456789")),--(ROW($1:$14)&lt;=LEN(C44&amp;"")))=LEN(C44&amp;"")),IF(LEN(C44&amp;"")=13,"0"&amp;C44,C44&amp;""),"KIỂM TRA ĐỊNH DẠNG"))</f>
        <v/>
      </c>
      <c r="G44" s="9">
        <f>IF(COUNTA(B44:D44)=0,"",IF(COUNTA(B44:D44)&lt;3,"THIẾU DỮ LIỆU",IF(OR(E44="KIỂM TRA ĐỊNH DẠNG",F44="KIỂM TRA ĐỊNH DẠNG",LEN(D44&amp;"")&lt;&gt;14),"KIỂM TRA ĐỊNH DẠNG",IF(AND(E44=F44,E44=D44&amp;""),"TRÙNG SỐ","LỆCH SỐ"))))</f>
        <v/>
      </c>
      <c r="H44" s="7"/>
      <c r="I44" s="7"/>
      <c r="J44" s="7"/>
      <c r="K44" s="9">
        <f>IF(COUNTA(H44:J44)=0,"",IF(COUNTA(H44:J44)&lt;3,"THIẾU DỮ LIỆU",IF(NOT(AND(AND(LEN(H44&amp;"")=10,SUMPRODUCT(--ISNUMBER(FIND(MID(H44&amp;"",ROW($1:$10),1),"0123456789")))=10),AND(LEN(I44&amp;"")=10,SUMPRODUCT(--ISNUMBER(FIND(MID(I44&amp;"",ROW($1:$10),1),"0123456789")))=10),AND(LEN(J44&amp;"")=10,SUMPRODUCT(--ISNUMBER(FIND(MID(J44&amp;"",ROW($1:$10),1),"0123456789")))=10))),"KIỂM TRA 10 CHỮ SỐ",IF(AND(H44&amp;""=I44&amp;"",H44&amp;""=J44&amp;""),"TRÙNG SỐ","LỆCH MÃ"))))</f>
        <v/>
      </c>
      <c r="L44" s="7"/>
      <c r="M44" s="7"/>
      <c r="N44" s="7"/>
      <c r="O44" s="7"/>
      <c r="P44" s="7"/>
      <c r="Q44" s="7"/>
      <c r="R44" s="7"/>
      <c r="S44" s="7"/>
      <c r="T44" s="7"/>
      <c r="U44" s="7"/>
      <c r="V44" s="7"/>
      <c r="W44" s="7"/>
      <c r="X44" s="7"/>
      <c r="Y44" s="7"/>
      <c r="Z44" s="7"/>
      <c r="AA44" s="7"/>
      <c r="AB44" s="9">
        <f>IF(A44="","",IF(SUMPRODUCT(--EXACT($A$6:$A$105,A44))&gt;1,"TRÙNG SKU: XEM LẠI",""))</f>
        <v/>
      </c>
      <c r="AC44" s="10"/>
      <c r="AD44" s="7"/>
      <c r="AE44" s="7"/>
    </row>
    <row r="45" spans="1:31" ht="32" customHeight="1">
      <c r="A45" s="7"/>
      <c r="B45" s="7"/>
      <c r="C45" s="7"/>
      <c r="D45" s="7"/>
      <c r="E45" s="9">
        <f>IF(B45="","",IF(AND(OR(LEN(B45&amp;"")=13,LEN(B45&amp;"")=14),SUMPRODUCT(--ISNUMBER(FIND(MID(B45&amp;"",ROW($1:$14),1),"0123456789")),--(ROW($1:$14)&lt;=LEN(B45&amp;"")))=LEN(B45&amp;"")),IF(LEN(B45&amp;"")=13,"0"&amp;B45,B45&amp;""),"KIỂM TRA ĐỊNH DẠNG"))</f>
        <v/>
      </c>
      <c r="F45" s="9">
        <f>IF(C45="","",IF(AND(OR(LEN(C45&amp;"")=13,LEN(C45&amp;"")=14),SUMPRODUCT(--ISNUMBER(FIND(MID(C45&amp;"",ROW($1:$14),1),"0123456789")),--(ROW($1:$14)&lt;=LEN(C45&amp;"")))=LEN(C45&amp;"")),IF(LEN(C45&amp;"")=13,"0"&amp;C45,C45&amp;""),"KIỂM TRA ĐỊNH DẠNG"))</f>
        <v/>
      </c>
      <c r="G45" s="9">
        <f>IF(COUNTA(B45:D45)=0,"",IF(COUNTA(B45:D45)&lt;3,"THIẾU DỮ LIỆU",IF(OR(E45="KIỂM TRA ĐỊNH DẠNG",F45="KIỂM TRA ĐỊNH DẠNG",LEN(D45&amp;"")&lt;&gt;14),"KIỂM TRA ĐỊNH DẠNG",IF(AND(E45=F45,E45=D45&amp;""),"TRÙNG SỐ","LỆCH SỐ"))))</f>
        <v/>
      </c>
      <c r="H45" s="7"/>
      <c r="I45" s="7"/>
      <c r="J45" s="7"/>
      <c r="K45" s="9">
        <f>IF(COUNTA(H45:J45)=0,"",IF(COUNTA(H45:J45)&lt;3,"THIẾU DỮ LIỆU",IF(NOT(AND(AND(LEN(H45&amp;"")=10,SUMPRODUCT(--ISNUMBER(FIND(MID(H45&amp;"",ROW($1:$10),1),"0123456789")))=10),AND(LEN(I45&amp;"")=10,SUMPRODUCT(--ISNUMBER(FIND(MID(I45&amp;"",ROW($1:$10),1),"0123456789")))=10),AND(LEN(J45&amp;"")=10,SUMPRODUCT(--ISNUMBER(FIND(MID(J45&amp;"",ROW($1:$10),1),"0123456789")))=10))),"KIỂM TRA 10 CHỮ SỐ",IF(AND(H45&amp;""=I45&amp;"",H45&amp;""=J45&amp;""),"TRÙNG SỐ","LỆCH MÃ"))))</f>
        <v/>
      </c>
      <c r="L45" s="7"/>
      <c r="M45" s="7"/>
      <c r="N45" s="7"/>
      <c r="O45" s="7"/>
      <c r="P45" s="7"/>
      <c r="Q45" s="7"/>
      <c r="R45" s="7"/>
      <c r="S45" s="7"/>
      <c r="T45" s="7"/>
      <c r="U45" s="7"/>
      <c r="V45" s="7"/>
      <c r="W45" s="7"/>
      <c r="X45" s="7"/>
      <c r="Y45" s="7"/>
      <c r="Z45" s="7"/>
      <c r="AA45" s="7"/>
      <c r="AB45" s="9">
        <f>IF(A45="","",IF(SUMPRODUCT(--EXACT($A$6:$A$105,A45))&gt;1,"TRÙNG SKU: XEM LẠI",""))</f>
        <v/>
      </c>
      <c r="AC45" s="10"/>
      <c r="AD45" s="7"/>
      <c r="AE45" s="7"/>
    </row>
    <row r="46" spans="1:31" ht="32" customHeight="1">
      <c r="A46" s="7"/>
      <c r="B46" s="7"/>
      <c r="C46" s="7"/>
      <c r="D46" s="7"/>
      <c r="E46" s="9">
        <f>IF(B46="","",IF(AND(OR(LEN(B46&amp;"")=13,LEN(B46&amp;"")=14),SUMPRODUCT(--ISNUMBER(FIND(MID(B46&amp;"",ROW($1:$14),1),"0123456789")),--(ROW($1:$14)&lt;=LEN(B46&amp;"")))=LEN(B46&amp;"")),IF(LEN(B46&amp;"")=13,"0"&amp;B46,B46&amp;""),"KIỂM TRA ĐỊNH DẠNG"))</f>
        <v/>
      </c>
      <c r="F46" s="9">
        <f>IF(C46="","",IF(AND(OR(LEN(C46&amp;"")=13,LEN(C46&amp;"")=14),SUMPRODUCT(--ISNUMBER(FIND(MID(C46&amp;"",ROW($1:$14),1),"0123456789")),--(ROW($1:$14)&lt;=LEN(C46&amp;"")))=LEN(C46&amp;"")),IF(LEN(C46&amp;"")=13,"0"&amp;C46,C46&amp;""),"KIỂM TRA ĐỊNH DẠNG"))</f>
        <v/>
      </c>
      <c r="G46" s="9">
        <f>IF(COUNTA(B46:D46)=0,"",IF(COUNTA(B46:D46)&lt;3,"THIẾU DỮ LIỆU",IF(OR(E46="KIỂM TRA ĐỊNH DẠNG",F46="KIỂM TRA ĐỊNH DẠNG",LEN(D46&amp;"")&lt;&gt;14),"KIỂM TRA ĐỊNH DẠNG",IF(AND(E46=F46,E46=D46&amp;""),"TRÙNG SỐ","LỆCH SỐ"))))</f>
        <v/>
      </c>
      <c r="H46" s="7"/>
      <c r="I46" s="7"/>
      <c r="J46" s="7"/>
      <c r="K46" s="9">
        <f>IF(COUNTA(H46:J46)=0,"",IF(COUNTA(H46:J46)&lt;3,"THIẾU DỮ LIỆU",IF(NOT(AND(AND(LEN(H46&amp;"")=10,SUMPRODUCT(--ISNUMBER(FIND(MID(H46&amp;"",ROW($1:$10),1),"0123456789")))=10),AND(LEN(I46&amp;"")=10,SUMPRODUCT(--ISNUMBER(FIND(MID(I46&amp;"",ROW($1:$10),1),"0123456789")))=10),AND(LEN(J46&amp;"")=10,SUMPRODUCT(--ISNUMBER(FIND(MID(J46&amp;"",ROW($1:$10),1),"0123456789")))=10))),"KIỂM TRA 10 CHỮ SỐ",IF(AND(H46&amp;""=I46&amp;"",H46&amp;""=J46&amp;""),"TRÙNG SỐ","LỆCH MÃ"))))</f>
        <v/>
      </c>
      <c r="L46" s="7"/>
      <c r="M46" s="7"/>
      <c r="N46" s="7"/>
      <c r="O46" s="7"/>
      <c r="P46" s="7"/>
      <c r="Q46" s="7"/>
      <c r="R46" s="7"/>
      <c r="S46" s="7"/>
      <c r="T46" s="7"/>
      <c r="U46" s="7"/>
      <c r="V46" s="7"/>
      <c r="W46" s="7"/>
      <c r="X46" s="7"/>
      <c r="Y46" s="7"/>
      <c r="Z46" s="7"/>
      <c r="AA46" s="7"/>
      <c r="AB46" s="9">
        <f>IF(A46="","",IF(SUMPRODUCT(--EXACT($A$6:$A$105,A46))&gt;1,"TRÙNG SKU: XEM LẠI",""))</f>
        <v/>
      </c>
      <c r="AC46" s="10"/>
      <c r="AD46" s="7"/>
      <c r="AE46" s="7"/>
    </row>
    <row r="47" spans="1:31" ht="32" customHeight="1">
      <c r="A47" s="7"/>
      <c r="B47" s="7"/>
      <c r="C47" s="7"/>
      <c r="D47" s="7"/>
      <c r="E47" s="9">
        <f>IF(B47="","",IF(AND(OR(LEN(B47&amp;"")=13,LEN(B47&amp;"")=14),SUMPRODUCT(--ISNUMBER(FIND(MID(B47&amp;"",ROW($1:$14),1),"0123456789")),--(ROW($1:$14)&lt;=LEN(B47&amp;"")))=LEN(B47&amp;"")),IF(LEN(B47&amp;"")=13,"0"&amp;B47,B47&amp;""),"KIỂM TRA ĐỊNH DẠNG"))</f>
        <v/>
      </c>
      <c r="F47" s="9">
        <f>IF(C47="","",IF(AND(OR(LEN(C47&amp;"")=13,LEN(C47&amp;"")=14),SUMPRODUCT(--ISNUMBER(FIND(MID(C47&amp;"",ROW($1:$14),1),"0123456789")),--(ROW($1:$14)&lt;=LEN(C47&amp;"")))=LEN(C47&amp;"")),IF(LEN(C47&amp;"")=13,"0"&amp;C47,C47&amp;""),"KIỂM TRA ĐỊNH DẠNG"))</f>
        <v/>
      </c>
      <c r="G47" s="9">
        <f>IF(COUNTA(B47:D47)=0,"",IF(COUNTA(B47:D47)&lt;3,"THIẾU DỮ LIỆU",IF(OR(E47="KIỂM TRA ĐỊNH DẠNG",F47="KIỂM TRA ĐỊNH DẠNG",LEN(D47&amp;"")&lt;&gt;14),"KIỂM TRA ĐỊNH DẠNG",IF(AND(E47=F47,E47=D47&amp;""),"TRÙNG SỐ","LỆCH SỐ"))))</f>
        <v/>
      </c>
      <c r="H47" s="7"/>
      <c r="I47" s="7"/>
      <c r="J47" s="7"/>
      <c r="K47" s="9">
        <f>IF(COUNTA(H47:J47)=0,"",IF(COUNTA(H47:J47)&lt;3,"THIẾU DỮ LIỆU",IF(NOT(AND(AND(LEN(H47&amp;"")=10,SUMPRODUCT(--ISNUMBER(FIND(MID(H47&amp;"",ROW($1:$10),1),"0123456789")))=10),AND(LEN(I47&amp;"")=10,SUMPRODUCT(--ISNUMBER(FIND(MID(I47&amp;"",ROW($1:$10),1),"0123456789")))=10),AND(LEN(J47&amp;"")=10,SUMPRODUCT(--ISNUMBER(FIND(MID(J47&amp;"",ROW($1:$10),1),"0123456789")))=10))),"KIỂM TRA 10 CHỮ SỐ",IF(AND(H47&amp;""=I47&amp;"",H47&amp;""=J47&amp;""),"TRÙNG SỐ","LỆCH MÃ"))))</f>
        <v/>
      </c>
      <c r="L47" s="7"/>
      <c r="M47" s="7"/>
      <c r="N47" s="7"/>
      <c r="O47" s="7"/>
      <c r="P47" s="7"/>
      <c r="Q47" s="7"/>
      <c r="R47" s="7"/>
      <c r="S47" s="7"/>
      <c r="T47" s="7"/>
      <c r="U47" s="7"/>
      <c r="V47" s="7"/>
      <c r="W47" s="7"/>
      <c r="X47" s="7"/>
      <c r="Y47" s="7"/>
      <c r="Z47" s="7"/>
      <c r="AA47" s="7"/>
      <c r="AB47" s="9">
        <f>IF(A47="","",IF(SUMPRODUCT(--EXACT($A$6:$A$105,A47))&gt;1,"TRÙNG SKU: XEM LẠI",""))</f>
        <v/>
      </c>
      <c r="AC47" s="10"/>
      <c r="AD47" s="7"/>
      <c r="AE47" s="7"/>
    </row>
    <row r="48" spans="1:31" ht="32" customHeight="1">
      <c r="A48" s="7"/>
      <c r="B48" s="7"/>
      <c r="C48" s="7"/>
      <c r="D48" s="7"/>
      <c r="E48" s="9">
        <f>IF(B48="","",IF(AND(OR(LEN(B48&amp;"")=13,LEN(B48&amp;"")=14),SUMPRODUCT(--ISNUMBER(FIND(MID(B48&amp;"",ROW($1:$14),1),"0123456789")),--(ROW($1:$14)&lt;=LEN(B48&amp;"")))=LEN(B48&amp;"")),IF(LEN(B48&amp;"")=13,"0"&amp;B48,B48&amp;""),"KIỂM TRA ĐỊNH DẠNG"))</f>
        <v/>
      </c>
      <c r="F48" s="9">
        <f>IF(C48="","",IF(AND(OR(LEN(C48&amp;"")=13,LEN(C48&amp;"")=14),SUMPRODUCT(--ISNUMBER(FIND(MID(C48&amp;"",ROW($1:$14),1),"0123456789")),--(ROW($1:$14)&lt;=LEN(C48&amp;"")))=LEN(C48&amp;"")),IF(LEN(C48&amp;"")=13,"0"&amp;C48,C48&amp;""),"KIỂM TRA ĐỊNH DẠNG"))</f>
        <v/>
      </c>
      <c r="G48" s="9">
        <f>IF(COUNTA(B48:D48)=0,"",IF(COUNTA(B48:D48)&lt;3,"THIẾU DỮ LIỆU",IF(OR(E48="KIỂM TRA ĐỊNH DẠNG",F48="KIỂM TRA ĐỊNH DẠNG",LEN(D48&amp;"")&lt;&gt;14),"KIỂM TRA ĐỊNH DẠNG",IF(AND(E48=F48,E48=D48&amp;""),"TRÙNG SỐ","LỆCH SỐ"))))</f>
        <v/>
      </c>
      <c r="H48" s="7"/>
      <c r="I48" s="7"/>
      <c r="J48" s="7"/>
      <c r="K48" s="9">
        <f>IF(COUNTA(H48:J48)=0,"",IF(COUNTA(H48:J48)&lt;3,"THIẾU DỮ LIỆU",IF(NOT(AND(AND(LEN(H48&amp;"")=10,SUMPRODUCT(--ISNUMBER(FIND(MID(H48&amp;"",ROW($1:$10),1),"0123456789")))=10),AND(LEN(I48&amp;"")=10,SUMPRODUCT(--ISNUMBER(FIND(MID(I48&amp;"",ROW($1:$10),1),"0123456789")))=10),AND(LEN(J48&amp;"")=10,SUMPRODUCT(--ISNUMBER(FIND(MID(J48&amp;"",ROW($1:$10),1),"0123456789")))=10))),"KIỂM TRA 10 CHỮ SỐ",IF(AND(H48&amp;""=I48&amp;"",H48&amp;""=J48&amp;""),"TRÙNG SỐ","LỆCH MÃ"))))</f>
        <v/>
      </c>
      <c r="L48" s="7"/>
      <c r="M48" s="7"/>
      <c r="N48" s="7"/>
      <c r="O48" s="7"/>
      <c r="P48" s="7"/>
      <c r="Q48" s="7"/>
      <c r="R48" s="7"/>
      <c r="S48" s="7"/>
      <c r="T48" s="7"/>
      <c r="U48" s="7"/>
      <c r="V48" s="7"/>
      <c r="W48" s="7"/>
      <c r="X48" s="7"/>
      <c r="Y48" s="7"/>
      <c r="Z48" s="7"/>
      <c r="AA48" s="7"/>
      <c r="AB48" s="9">
        <f>IF(A48="","",IF(SUMPRODUCT(--EXACT($A$6:$A$105,A48))&gt;1,"TRÙNG SKU: XEM LẠI",""))</f>
        <v/>
      </c>
      <c r="AC48" s="10"/>
      <c r="AD48" s="7"/>
      <c r="AE48" s="7"/>
    </row>
    <row r="49" spans="1:31" ht="32" customHeight="1">
      <c r="A49" s="7"/>
      <c r="B49" s="7"/>
      <c r="C49" s="7"/>
      <c r="D49" s="7"/>
      <c r="E49" s="9">
        <f>IF(B49="","",IF(AND(OR(LEN(B49&amp;"")=13,LEN(B49&amp;"")=14),SUMPRODUCT(--ISNUMBER(FIND(MID(B49&amp;"",ROW($1:$14),1),"0123456789")),--(ROW($1:$14)&lt;=LEN(B49&amp;"")))=LEN(B49&amp;"")),IF(LEN(B49&amp;"")=13,"0"&amp;B49,B49&amp;""),"KIỂM TRA ĐỊNH DẠNG"))</f>
        <v/>
      </c>
      <c r="F49" s="9">
        <f>IF(C49="","",IF(AND(OR(LEN(C49&amp;"")=13,LEN(C49&amp;"")=14),SUMPRODUCT(--ISNUMBER(FIND(MID(C49&amp;"",ROW($1:$14),1),"0123456789")),--(ROW($1:$14)&lt;=LEN(C49&amp;"")))=LEN(C49&amp;"")),IF(LEN(C49&amp;"")=13,"0"&amp;C49,C49&amp;""),"KIỂM TRA ĐỊNH DẠNG"))</f>
        <v/>
      </c>
      <c r="G49" s="9">
        <f>IF(COUNTA(B49:D49)=0,"",IF(COUNTA(B49:D49)&lt;3,"THIẾU DỮ LIỆU",IF(OR(E49="KIỂM TRA ĐỊNH DẠNG",F49="KIỂM TRA ĐỊNH DẠNG",LEN(D49&amp;"")&lt;&gt;14),"KIỂM TRA ĐỊNH DẠNG",IF(AND(E49=F49,E49=D49&amp;""),"TRÙNG SỐ","LỆCH SỐ"))))</f>
        <v/>
      </c>
      <c r="H49" s="7"/>
      <c r="I49" s="7"/>
      <c r="J49" s="7"/>
      <c r="K49" s="9">
        <f>IF(COUNTA(H49:J49)=0,"",IF(COUNTA(H49:J49)&lt;3,"THIẾU DỮ LIỆU",IF(NOT(AND(AND(LEN(H49&amp;"")=10,SUMPRODUCT(--ISNUMBER(FIND(MID(H49&amp;"",ROW($1:$10),1),"0123456789")))=10),AND(LEN(I49&amp;"")=10,SUMPRODUCT(--ISNUMBER(FIND(MID(I49&amp;"",ROW($1:$10),1),"0123456789")))=10),AND(LEN(J49&amp;"")=10,SUMPRODUCT(--ISNUMBER(FIND(MID(J49&amp;"",ROW($1:$10),1),"0123456789")))=10))),"KIỂM TRA 10 CHỮ SỐ",IF(AND(H49&amp;""=I49&amp;"",H49&amp;""=J49&amp;""),"TRÙNG SỐ","LỆCH MÃ"))))</f>
        <v/>
      </c>
      <c r="L49" s="7"/>
      <c r="M49" s="7"/>
      <c r="N49" s="7"/>
      <c r="O49" s="7"/>
      <c r="P49" s="7"/>
      <c r="Q49" s="7"/>
      <c r="R49" s="7"/>
      <c r="S49" s="7"/>
      <c r="T49" s="7"/>
      <c r="U49" s="7"/>
      <c r="V49" s="7"/>
      <c r="W49" s="7"/>
      <c r="X49" s="7"/>
      <c r="Y49" s="7"/>
      <c r="Z49" s="7"/>
      <c r="AA49" s="7"/>
      <c r="AB49" s="9">
        <f>IF(A49="","",IF(SUMPRODUCT(--EXACT($A$6:$A$105,A49))&gt;1,"TRÙNG SKU: XEM LẠI",""))</f>
        <v/>
      </c>
      <c r="AC49" s="10"/>
      <c r="AD49" s="7"/>
      <c r="AE49" s="7"/>
    </row>
    <row r="50" spans="1:31" ht="32" customHeight="1">
      <c r="A50" s="7"/>
      <c r="B50" s="7"/>
      <c r="C50" s="7"/>
      <c r="D50" s="7"/>
      <c r="E50" s="9">
        <f>IF(B50="","",IF(AND(OR(LEN(B50&amp;"")=13,LEN(B50&amp;"")=14),SUMPRODUCT(--ISNUMBER(FIND(MID(B50&amp;"",ROW($1:$14),1),"0123456789")),--(ROW($1:$14)&lt;=LEN(B50&amp;"")))=LEN(B50&amp;"")),IF(LEN(B50&amp;"")=13,"0"&amp;B50,B50&amp;""),"KIỂM TRA ĐỊNH DẠNG"))</f>
        <v/>
      </c>
      <c r="F50" s="9">
        <f>IF(C50="","",IF(AND(OR(LEN(C50&amp;"")=13,LEN(C50&amp;"")=14),SUMPRODUCT(--ISNUMBER(FIND(MID(C50&amp;"",ROW($1:$14),1),"0123456789")),--(ROW($1:$14)&lt;=LEN(C50&amp;"")))=LEN(C50&amp;"")),IF(LEN(C50&amp;"")=13,"0"&amp;C50,C50&amp;""),"KIỂM TRA ĐỊNH DẠNG"))</f>
        <v/>
      </c>
      <c r="G50" s="9">
        <f>IF(COUNTA(B50:D50)=0,"",IF(COUNTA(B50:D50)&lt;3,"THIẾU DỮ LIỆU",IF(OR(E50="KIỂM TRA ĐỊNH DẠNG",F50="KIỂM TRA ĐỊNH DẠNG",LEN(D50&amp;"")&lt;&gt;14),"KIỂM TRA ĐỊNH DẠNG",IF(AND(E50=F50,E50=D50&amp;""),"TRÙNG SỐ","LỆCH SỐ"))))</f>
        <v/>
      </c>
      <c r="H50" s="7"/>
      <c r="I50" s="7"/>
      <c r="J50" s="7"/>
      <c r="K50" s="9">
        <f>IF(COUNTA(H50:J50)=0,"",IF(COUNTA(H50:J50)&lt;3,"THIẾU DỮ LIỆU",IF(NOT(AND(AND(LEN(H50&amp;"")=10,SUMPRODUCT(--ISNUMBER(FIND(MID(H50&amp;"",ROW($1:$10),1),"0123456789")))=10),AND(LEN(I50&amp;"")=10,SUMPRODUCT(--ISNUMBER(FIND(MID(I50&amp;"",ROW($1:$10),1),"0123456789")))=10),AND(LEN(J50&amp;"")=10,SUMPRODUCT(--ISNUMBER(FIND(MID(J50&amp;"",ROW($1:$10),1),"0123456789")))=10))),"KIỂM TRA 10 CHỮ SỐ",IF(AND(H50&amp;""=I50&amp;"",H50&amp;""=J50&amp;""),"TRÙNG SỐ","LỆCH MÃ"))))</f>
        <v/>
      </c>
      <c r="L50" s="7"/>
      <c r="M50" s="7"/>
      <c r="N50" s="7"/>
      <c r="O50" s="7"/>
      <c r="P50" s="7"/>
      <c r="Q50" s="7"/>
      <c r="R50" s="7"/>
      <c r="S50" s="7"/>
      <c r="T50" s="7"/>
      <c r="U50" s="7"/>
      <c r="V50" s="7"/>
      <c r="W50" s="7"/>
      <c r="X50" s="7"/>
      <c r="Y50" s="7"/>
      <c r="Z50" s="7"/>
      <c r="AA50" s="7"/>
      <c r="AB50" s="9">
        <f>IF(A50="","",IF(SUMPRODUCT(--EXACT($A$6:$A$105,A50))&gt;1,"TRÙNG SKU: XEM LẠI",""))</f>
        <v/>
      </c>
      <c r="AC50" s="10"/>
      <c r="AD50" s="7"/>
      <c r="AE50" s="7"/>
    </row>
    <row r="51" spans="1:31" ht="32" customHeight="1">
      <c r="A51" s="7"/>
      <c r="B51" s="7"/>
      <c r="C51" s="7"/>
      <c r="D51" s="7"/>
      <c r="E51" s="9">
        <f>IF(B51="","",IF(AND(OR(LEN(B51&amp;"")=13,LEN(B51&amp;"")=14),SUMPRODUCT(--ISNUMBER(FIND(MID(B51&amp;"",ROW($1:$14),1),"0123456789")),--(ROW($1:$14)&lt;=LEN(B51&amp;"")))=LEN(B51&amp;"")),IF(LEN(B51&amp;"")=13,"0"&amp;B51,B51&amp;""),"KIỂM TRA ĐỊNH DẠNG"))</f>
        <v/>
      </c>
      <c r="F51" s="9">
        <f>IF(C51="","",IF(AND(OR(LEN(C51&amp;"")=13,LEN(C51&amp;"")=14),SUMPRODUCT(--ISNUMBER(FIND(MID(C51&amp;"",ROW($1:$14),1),"0123456789")),--(ROW($1:$14)&lt;=LEN(C51&amp;"")))=LEN(C51&amp;"")),IF(LEN(C51&amp;"")=13,"0"&amp;C51,C51&amp;""),"KIỂM TRA ĐỊNH DẠNG"))</f>
        <v/>
      </c>
      <c r="G51" s="9">
        <f>IF(COUNTA(B51:D51)=0,"",IF(COUNTA(B51:D51)&lt;3,"THIẾU DỮ LIỆU",IF(OR(E51="KIỂM TRA ĐỊNH DẠNG",F51="KIỂM TRA ĐỊNH DẠNG",LEN(D51&amp;"")&lt;&gt;14),"KIỂM TRA ĐỊNH DẠNG",IF(AND(E51=F51,E51=D51&amp;""),"TRÙNG SỐ","LỆCH SỐ"))))</f>
        <v/>
      </c>
      <c r="H51" s="7"/>
      <c r="I51" s="7"/>
      <c r="J51" s="7"/>
      <c r="K51" s="9">
        <f>IF(COUNTA(H51:J51)=0,"",IF(COUNTA(H51:J51)&lt;3,"THIẾU DỮ LIỆU",IF(NOT(AND(AND(LEN(H51&amp;"")=10,SUMPRODUCT(--ISNUMBER(FIND(MID(H51&amp;"",ROW($1:$10),1),"0123456789")))=10),AND(LEN(I51&amp;"")=10,SUMPRODUCT(--ISNUMBER(FIND(MID(I51&amp;"",ROW($1:$10),1),"0123456789")))=10),AND(LEN(J51&amp;"")=10,SUMPRODUCT(--ISNUMBER(FIND(MID(J51&amp;"",ROW($1:$10),1),"0123456789")))=10))),"KIỂM TRA 10 CHỮ SỐ",IF(AND(H51&amp;""=I51&amp;"",H51&amp;""=J51&amp;""),"TRÙNG SỐ","LỆCH MÃ"))))</f>
        <v/>
      </c>
      <c r="L51" s="7"/>
      <c r="M51" s="7"/>
      <c r="N51" s="7"/>
      <c r="O51" s="7"/>
      <c r="P51" s="7"/>
      <c r="Q51" s="7"/>
      <c r="R51" s="7"/>
      <c r="S51" s="7"/>
      <c r="T51" s="7"/>
      <c r="U51" s="7"/>
      <c r="V51" s="7"/>
      <c r="W51" s="7"/>
      <c r="X51" s="7"/>
      <c r="Y51" s="7"/>
      <c r="Z51" s="7"/>
      <c r="AA51" s="7"/>
      <c r="AB51" s="9">
        <f>IF(A51="","",IF(SUMPRODUCT(--EXACT($A$6:$A$105,A51))&gt;1,"TRÙNG SKU: XEM LẠI",""))</f>
        <v/>
      </c>
      <c r="AC51" s="10"/>
      <c r="AD51" s="7"/>
      <c r="AE51" s="7"/>
    </row>
    <row r="52" spans="1:31" ht="32" customHeight="1">
      <c r="A52" s="7"/>
      <c r="B52" s="7"/>
      <c r="C52" s="7"/>
      <c r="D52" s="7"/>
      <c r="E52" s="9">
        <f>IF(B52="","",IF(AND(OR(LEN(B52&amp;"")=13,LEN(B52&amp;"")=14),SUMPRODUCT(--ISNUMBER(FIND(MID(B52&amp;"",ROW($1:$14),1),"0123456789")),--(ROW($1:$14)&lt;=LEN(B52&amp;"")))=LEN(B52&amp;"")),IF(LEN(B52&amp;"")=13,"0"&amp;B52,B52&amp;""),"KIỂM TRA ĐỊNH DẠNG"))</f>
        <v/>
      </c>
      <c r="F52" s="9">
        <f>IF(C52="","",IF(AND(OR(LEN(C52&amp;"")=13,LEN(C52&amp;"")=14),SUMPRODUCT(--ISNUMBER(FIND(MID(C52&amp;"",ROW($1:$14),1),"0123456789")),--(ROW($1:$14)&lt;=LEN(C52&amp;"")))=LEN(C52&amp;"")),IF(LEN(C52&amp;"")=13,"0"&amp;C52,C52&amp;""),"KIỂM TRA ĐỊNH DẠNG"))</f>
        <v/>
      </c>
      <c r="G52" s="9">
        <f>IF(COUNTA(B52:D52)=0,"",IF(COUNTA(B52:D52)&lt;3,"THIẾU DỮ LIỆU",IF(OR(E52="KIỂM TRA ĐỊNH DẠNG",F52="KIỂM TRA ĐỊNH DẠNG",LEN(D52&amp;"")&lt;&gt;14),"KIỂM TRA ĐỊNH DẠNG",IF(AND(E52=F52,E52=D52&amp;""),"TRÙNG SỐ","LỆCH SỐ"))))</f>
        <v/>
      </c>
      <c r="H52" s="7"/>
      <c r="I52" s="7"/>
      <c r="J52" s="7"/>
      <c r="K52" s="9">
        <f>IF(COUNTA(H52:J52)=0,"",IF(COUNTA(H52:J52)&lt;3,"THIẾU DỮ LIỆU",IF(NOT(AND(AND(LEN(H52&amp;"")=10,SUMPRODUCT(--ISNUMBER(FIND(MID(H52&amp;"",ROW($1:$10),1),"0123456789")))=10),AND(LEN(I52&amp;"")=10,SUMPRODUCT(--ISNUMBER(FIND(MID(I52&amp;"",ROW($1:$10),1),"0123456789")))=10),AND(LEN(J52&amp;"")=10,SUMPRODUCT(--ISNUMBER(FIND(MID(J52&amp;"",ROW($1:$10),1),"0123456789")))=10))),"KIỂM TRA 10 CHỮ SỐ",IF(AND(H52&amp;""=I52&amp;"",H52&amp;""=J52&amp;""),"TRÙNG SỐ","LỆCH MÃ"))))</f>
        <v/>
      </c>
      <c r="L52" s="7"/>
      <c r="M52" s="7"/>
      <c r="N52" s="7"/>
      <c r="O52" s="7"/>
      <c r="P52" s="7"/>
      <c r="Q52" s="7"/>
      <c r="R52" s="7"/>
      <c r="S52" s="7"/>
      <c r="T52" s="7"/>
      <c r="U52" s="7"/>
      <c r="V52" s="7"/>
      <c r="W52" s="7"/>
      <c r="X52" s="7"/>
      <c r="Y52" s="7"/>
      <c r="Z52" s="7"/>
      <c r="AA52" s="7"/>
      <c r="AB52" s="9">
        <f>IF(A52="","",IF(SUMPRODUCT(--EXACT($A$6:$A$105,A52))&gt;1,"TRÙNG SKU: XEM LẠI",""))</f>
        <v/>
      </c>
      <c r="AC52" s="10"/>
      <c r="AD52" s="7"/>
      <c r="AE52" s="7"/>
    </row>
    <row r="53" spans="1:31" ht="32" customHeight="1">
      <c r="A53" s="7"/>
      <c r="B53" s="7"/>
      <c r="C53" s="7"/>
      <c r="D53" s="7"/>
      <c r="E53" s="9">
        <f>IF(B53="","",IF(AND(OR(LEN(B53&amp;"")=13,LEN(B53&amp;"")=14),SUMPRODUCT(--ISNUMBER(FIND(MID(B53&amp;"",ROW($1:$14),1),"0123456789")),--(ROW($1:$14)&lt;=LEN(B53&amp;"")))=LEN(B53&amp;"")),IF(LEN(B53&amp;"")=13,"0"&amp;B53,B53&amp;""),"KIỂM TRA ĐỊNH DẠNG"))</f>
        <v/>
      </c>
      <c r="F53" s="9">
        <f>IF(C53="","",IF(AND(OR(LEN(C53&amp;"")=13,LEN(C53&amp;"")=14),SUMPRODUCT(--ISNUMBER(FIND(MID(C53&amp;"",ROW($1:$14),1),"0123456789")),--(ROW($1:$14)&lt;=LEN(C53&amp;"")))=LEN(C53&amp;"")),IF(LEN(C53&amp;"")=13,"0"&amp;C53,C53&amp;""),"KIỂM TRA ĐỊNH DẠNG"))</f>
        <v/>
      </c>
      <c r="G53" s="9">
        <f>IF(COUNTA(B53:D53)=0,"",IF(COUNTA(B53:D53)&lt;3,"THIẾU DỮ LIỆU",IF(OR(E53="KIỂM TRA ĐỊNH DẠNG",F53="KIỂM TRA ĐỊNH DẠNG",LEN(D53&amp;"")&lt;&gt;14),"KIỂM TRA ĐỊNH DẠNG",IF(AND(E53=F53,E53=D53&amp;""),"TRÙNG SỐ","LỆCH SỐ"))))</f>
        <v/>
      </c>
      <c r="H53" s="7"/>
      <c r="I53" s="7"/>
      <c r="J53" s="7"/>
      <c r="K53" s="9">
        <f>IF(COUNTA(H53:J53)=0,"",IF(COUNTA(H53:J53)&lt;3,"THIẾU DỮ LIỆU",IF(NOT(AND(AND(LEN(H53&amp;"")=10,SUMPRODUCT(--ISNUMBER(FIND(MID(H53&amp;"",ROW($1:$10),1),"0123456789")))=10),AND(LEN(I53&amp;"")=10,SUMPRODUCT(--ISNUMBER(FIND(MID(I53&amp;"",ROW($1:$10),1),"0123456789")))=10),AND(LEN(J53&amp;"")=10,SUMPRODUCT(--ISNUMBER(FIND(MID(J53&amp;"",ROW($1:$10),1),"0123456789")))=10))),"KIỂM TRA 10 CHỮ SỐ",IF(AND(H53&amp;""=I53&amp;"",H53&amp;""=J53&amp;""),"TRÙNG SỐ","LỆCH MÃ"))))</f>
        <v/>
      </c>
      <c r="L53" s="7"/>
      <c r="M53" s="7"/>
      <c r="N53" s="7"/>
      <c r="O53" s="7"/>
      <c r="P53" s="7"/>
      <c r="Q53" s="7"/>
      <c r="R53" s="7"/>
      <c r="S53" s="7"/>
      <c r="T53" s="7"/>
      <c r="U53" s="7"/>
      <c r="V53" s="7"/>
      <c r="W53" s="7"/>
      <c r="X53" s="7"/>
      <c r="Y53" s="7"/>
      <c r="Z53" s="7"/>
      <c r="AA53" s="7"/>
      <c r="AB53" s="9">
        <f>IF(A53="","",IF(SUMPRODUCT(--EXACT($A$6:$A$105,A53))&gt;1,"TRÙNG SKU: XEM LẠI",""))</f>
        <v/>
      </c>
      <c r="AC53" s="10"/>
      <c r="AD53" s="7"/>
      <c r="AE53" s="7"/>
    </row>
    <row r="54" spans="1:31" ht="32" customHeight="1">
      <c r="A54" s="7"/>
      <c r="B54" s="7"/>
      <c r="C54" s="7"/>
      <c r="D54" s="7"/>
      <c r="E54" s="9">
        <f>IF(B54="","",IF(AND(OR(LEN(B54&amp;"")=13,LEN(B54&amp;"")=14),SUMPRODUCT(--ISNUMBER(FIND(MID(B54&amp;"",ROW($1:$14),1),"0123456789")),--(ROW($1:$14)&lt;=LEN(B54&amp;"")))=LEN(B54&amp;"")),IF(LEN(B54&amp;"")=13,"0"&amp;B54,B54&amp;""),"KIỂM TRA ĐỊNH DẠNG"))</f>
        <v/>
      </c>
      <c r="F54" s="9">
        <f>IF(C54="","",IF(AND(OR(LEN(C54&amp;"")=13,LEN(C54&amp;"")=14),SUMPRODUCT(--ISNUMBER(FIND(MID(C54&amp;"",ROW($1:$14),1),"0123456789")),--(ROW($1:$14)&lt;=LEN(C54&amp;"")))=LEN(C54&amp;"")),IF(LEN(C54&amp;"")=13,"0"&amp;C54,C54&amp;""),"KIỂM TRA ĐỊNH DẠNG"))</f>
        <v/>
      </c>
      <c r="G54" s="9">
        <f>IF(COUNTA(B54:D54)=0,"",IF(COUNTA(B54:D54)&lt;3,"THIẾU DỮ LIỆU",IF(OR(E54="KIỂM TRA ĐỊNH DẠNG",F54="KIỂM TRA ĐỊNH DẠNG",LEN(D54&amp;"")&lt;&gt;14),"KIỂM TRA ĐỊNH DẠNG",IF(AND(E54=F54,E54=D54&amp;""),"TRÙNG SỐ","LỆCH SỐ"))))</f>
        <v/>
      </c>
      <c r="H54" s="7"/>
      <c r="I54" s="7"/>
      <c r="J54" s="7"/>
      <c r="K54" s="9">
        <f>IF(COUNTA(H54:J54)=0,"",IF(COUNTA(H54:J54)&lt;3,"THIẾU DỮ LIỆU",IF(NOT(AND(AND(LEN(H54&amp;"")=10,SUMPRODUCT(--ISNUMBER(FIND(MID(H54&amp;"",ROW($1:$10),1),"0123456789")))=10),AND(LEN(I54&amp;"")=10,SUMPRODUCT(--ISNUMBER(FIND(MID(I54&amp;"",ROW($1:$10),1),"0123456789")))=10),AND(LEN(J54&amp;"")=10,SUMPRODUCT(--ISNUMBER(FIND(MID(J54&amp;"",ROW($1:$10),1),"0123456789")))=10))),"KIỂM TRA 10 CHỮ SỐ",IF(AND(H54&amp;""=I54&amp;"",H54&amp;""=J54&amp;""),"TRÙNG SỐ","LỆCH MÃ"))))</f>
        <v/>
      </c>
      <c r="L54" s="7"/>
      <c r="M54" s="7"/>
      <c r="N54" s="7"/>
      <c r="O54" s="7"/>
      <c r="P54" s="7"/>
      <c r="Q54" s="7"/>
      <c r="R54" s="7"/>
      <c r="S54" s="7"/>
      <c r="T54" s="7"/>
      <c r="U54" s="7"/>
      <c r="V54" s="7"/>
      <c r="W54" s="7"/>
      <c r="X54" s="7"/>
      <c r="Y54" s="7"/>
      <c r="Z54" s="7"/>
      <c r="AA54" s="7"/>
      <c r="AB54" s="9">
        <f>IF(A54="","",IF(SUMPRODUCT(--EXACT($A$6:$A$105,A54))&gt;1,"TRÙNG SKU: XEM LẠI",""))</f>
        <v/>
      </c>
      <c r="AC54" s="10"/>
      <c r="AD54" s="7"/>
      <c r="AE54" s="7"/>
    </row>
    <row r="55" spans="1:31" ht="32" customHeight="1">
      <c r="A55" s="7"/>
      <c r="B55" s="7"/>
      <c r="C55" s="7"/>
      <c r="D55" s="7"/>
      <c r="E55" s="9">
        <f>IF(B55="","",IF(AND(OR(LEN(B55&amp;"")=13,LEN(B55&amp;"")=14),SUMPRODUCT(--ISNUMBER(FIND(MID(B55&amp;"",ROW($1:$14),1),"0123456789")),--(ROW($1:$14)&lt;=LEN(B55&amp;"")))=LEN(B55&amp;"")),IF(LEN(B55&amp;"")=13,"0"&amp;B55,B55&amp;""),"KIỂM TRA ĐỊNH DẠNG"))</f>
        <v/>
      </c>
      <c r="F55" s="9">
        <f>IF(C55="","",IF(AND(OR(LEN(C55&amp;"")=13,LEN(C55&amp;"")=14),SUMPRODUCT(--ISNUMBER(FIND(MID(C55&amp;"",ROW($1:$14),1),"0123456789")),--(ROW($1:$14)&lt;=LEN(C55&amp;"")))=LEN(C55&amp;"")),IF(LEN(C55&amp;"")=13,"0"&amp;C55,C55&amp;""),"KIỂM TRA ĐỊNH DẠNG"))</f>
        <v/>
      </c>
      <c r="G55" s="9">
        <f>IF(COUNTA(B55:D55)=0,"",IF(COUNTA(B55:D55)&lt;3,"THIẾU DỮ LIỆU",IF(OR(E55="KIỂM TRA ĐỊNH DẠNG",F55="KIỂM TRA ĐỊNH DẠNG",LEN(D55&amp;"")&lt;&gt;14),"KIỂM TRA ĐỊNH DẠNG",IF(AND(E55=F55,E55=D55&amp;""),"TRÙNG SỐ","LỆCH SỐ"))))</f>
        <v/>
      </c>
      <c r="H55" s="7"/>
      <c r="I55" s="7"/>
      <c r="J55" s="7"/>
      <c r="K55" s="9">
        <f>IF(COUNTA(H55:J55)=0,"",IF(COUNTA(H55:J55)&lt;3,"THIẾU DỮ LIỆU",IF(NOT(AND(AND(LEN(H55&amp;"")=10,SUMPRODUCT(--ISNUMBER(FIND(MID(H55&amp;"",ROW($1:$10),1),"0123456789")))=10),AND(LEN(I55&amp;"")=10,SUMPRODUCT(--ISNUMBER(FIND(MID(I55&amp;"",ROW($1:$10),1),"0123456789")))=10),AND(LEN(J55&amp;"")=10,SUMPRODUCT(--ISNUMBER(FIND(MID(J55&amp;"",ROW($1:$10),1),"0123456789")))=10))),"KIỂM TRA 10 CHỮ SỐ",IF(AND(H55&amp;""=I55&amp;"",H55&amp;""=J55&amp;""),"TRÙNG SỐ","LỆCH MÃ"))))</f>
        <v/>
      </c>
      <c r="L55" s="7"/>
      <c r="M55" s="7"/>
      <c r="N55" s="7"/>
      <c r="O55" s="7"/>
      <c r="P55" s="7"/>
      <c r="Q55" s="7"/>
      <c r="R55" s="7"/>
      <c r="S55" s="7"/>
      <c r="T55" s="7"/>
      <c r="U55" s="7"/>
      <c r="V55" s="7"/>
      <c r="W55" s="7"/>
      <c r="X55" s="7"/>
      <c r="Y55" s="7"/>
      <c r="Z55" s="7"/>
      <c r="AA55" s="7"/>
      <c r="AB55" s="9">
        <f>IF(A55="","",IF(SUMPRODUCT(--EXACT($A$6:$A$105,A55))&gt;1,"TRÙNG SKU: XEM LẠI",""))</f>
        <v/>
      </c>
      <c r="AC55" s="10"/>
      <c r="AD55" s="7"/>
      <c r="AE55" s="7"/>
    </row>
    <row r="56" spans="1:31" ht="32" customHeight="1">
      <c r="A56" s="7"/>
      <c r="B56" s="7"/>
      <c r="C56" s="7"/>
      <c r="D56" s="7"/>
      <c r="E56" s="9">
        <f>IF(B56="","",IF(AND(OR(LEN(B56&amp;"")=13,LEN(B56&amp;"")=14),SUMPRODUCT(--ISNUMBER(FIND(MID(B56&amp;"",ROW($1:$14),1),"0123456789")),--(ROW($1:$14)&lt;=LEN(B56&amp;"")))=LEN(B56&amp;"")),IF(LEN(B56&amp;"")=13,"0"&amp;B56,B56&amp;""),"KIỂM TRA ĐỊNH DẠNG"))</f>
        <v/>
      </c>
      <c r="F56" s="9">
        <f>IF(C56="","",IF(AND(OR(LEN(C56&amp;"")=13,LEN(C56&amp;"")=14),SUMPRODUCT(--ISNUMBER(FIND(MID(C56&amp;"",ROW($1:$14),1),"0123456789")),--(ROW($1:$14)&lt;=LEN(C56&amp;"")))=LEN(C56&amp;"")),IF(LEN(C56&amp;"")=13,"0"&amp;C56,C56&amp;""),"KIỂM TRA ĐỊNH DẠNG"))</f>
        <v/>
      </c>
      <c r="G56" s="9">
        <f>IF(COUNTA(B56:D56)=0,"",IF(COUNTA(B56:D56)&lt;3,"THIẾU DỮ LIỆU",IF(OR(E56="KIỂM TRA ĐỊNH DẠNG",F56="KIỂM TRA ĐỊNH DẠNG",LEN(D56&amp;"")&lt;&gt;14),"KIỂM TRA ĐỊNH DẠNG",IF(AND(E56=F56,E56=D56&amp;""),"TRÙNG SỐ","LỆCH SỐ"))))</f>
        <v/>
      </c>
      <c r="H56" s="7"/>
      <c r="I56" s="7"/>
      <c r="J56" s="7"/>
      <c r="K56" s="9">
        <f>IF(COUNTA(H56:J56)=0,"",IF(COUNTA(H56:J56)&lt;3,"THIẾU DỮ LIỆU",IF(NOT(AND(AND(LEN(H56&amp;"")=10,SUMPRODUCT(--ISNUMBER(FIND(MID(H56&amp;"",ROW($1:$10),1),"0123456789")))=10),AND(LEN(I56&amp;"")=10,SUMPRODUCT(--ISNUMBER(FIND(MID(I56&amp;"",ROW($1:$10),1),"0123456789")))=10),AND(LEN(J56&amp;"")=10,SUMPRODUCT(--ISNUMBER(FIND(MID(J56&amp;"",ROW($1:$10),1),"0123456789")))=10))),"KIỂM TRA 10 CHỮ SỐ",IF(AND(H56&amp;""=I56&amp;"",H56&amp;""=J56&amp;""),"TRÙNG SỐ","LỆCH MÃ"))))</f>
        <v/>
      </c>
      <c r="L56" s="7"/>
      <c r="M56" s="7"/>
      <c r="N56" s="7"/>
      <c r="O56" s="7"/>
      <c r="P56" s="7"/>
      <c r="Q56" s="7"/>
      <c r="R56" s="7"/>
      <c r="S56" s="7"/>
      <c r="T56" s="7"/>
      <c r="U56" s="7"/>
      <c r="V56" s="7"/>
      <c r="W56" s="7"/>
      <c r="X56" s="7"/>
      <c r="Y56" s="7"/>
      <c r="Z56" s="7"/>
      <c r="AA56" s="7"/>
      <c r="AB56" s="9">
        <f>IF(A56="","",IF(SUMPRODUCT(--EXACT($A$6:$A$105,A56))&gt;1,"TRÙNG SKU: XEM LẠI",""))</f>
        <v/>
      </c>
      <c r="AC56" s="10"/>
      <c r="AD56" s="7"/>
      <c r="AE56" s="7"/>
    </row>
    <row r="57" spans="1:31" ht="32" customHeight="1">
      <c r="A57" s="7"/>
      <c r="B57" s="7"/>
      <c r="C57" s="7"/>
      <c r="D57" s="7"/>
      <c r="E57" s="9">
        <f>IF(B57="","",IF(AND(OR(LEN(B57&amp;"")=13,LEN(B57&amp;"")=14),SUMPRODUCT(--ISNUMBER(FIND(MID(B57&amp;"",ROW($1:$14),1),"0123456789")),--(ROW($1:$14)&lt;=LEN(B57&amp;"")))=LEN(B57&amp;"")),IF(LEN(B57&amp;"")=13,"0"&amp;B57,B57&amp;""),"KIỂM TRA ĐỊNH DẠNG"))</f>
        <v/>
      </c>
      <c r="F57" s="9">
        <f>IF(C57="","",IF(AND(OR(LEN(C57&amp;"")=13,LEN(C57&amp;"")=14),SUMPRODUCT(--ISNUMBER(FIND(MID(C57&amp;"",ROW($1:$14),1),"0123456789")),--(ROW($1:$14)&lt;=LEN(C57&amp;"")))=LEN(C57&amp;"")),IF(LEN(C57&amp;"")=13,"0"&amp;C57,C57&amp;""),"KIỂM TRA ĐỊNH DẠNG"))</f>
        <v/>
      </c>
      <c r="G57" s="9">
        <f>IF(COUNTA(B57:D57)=0,"",IF(COUNTA(B57:D57)&lt;3,"THIẾU DỮ LIỆU",IF(OR(E57="KIỂM TRA ĐỊNH DẠNG",F57="KIỂM TRA ĐỊNH DẠNG",LEN(D57&amp;"")&lt;&gt;14),"KIỂM TRA ĐỊNH DẠNG",IF(AND(E57=F57,E57=D57&amp;""),"TRÙNG SỐ","LỆCH SỐ"))))</f>
        <v/>
      </c>
      <c r="H57" s="7"/>
      <c r="I57" s="7"/>
      <c r="J57" s="7"/>
      <c r="K57" s="9">
        <f>IF(COUNTA(H57:J57)=0,"",IF(COUNTA(H57:J57)&lt;3,"THIẾU DỮ LIỆU",IF(NOT(AND(AND(LEN(H57&amp;"")=10,SUMPRODUCT(--ISNUMBER(FIND(MID(H57&amp;"",ROW($1:$10),1),"0123456789")))=10),AND(LEN(I57&amp;"")=10,SUMPRODUCT(--ISNUMBER(FIND(MID(I57&amp;"",ROW($1:$10),1),"0123456789")))=10),AND(LEN(J57&amp;"")=10,SUMPRODUCT(--ISNUMBER(FIND(MID(J57&amp;"",ROW($1:$10),1),"0123456789")))=10))),"KIỂM TRA 10 CHỮ SỐ",IF(AND(H57&amp;""=I57&amp;"",H57&amp;""=J57&amp;""),"TRÙNG SỐ","LỆCH MÃ"))))</f>
        <v/>
      </c>
      <c r="L57" s="7"/>
      <c r="M57" s="7"/>
      <c r="N57" s="7"/>
      <c r="O57" s="7"/>
      <c r="P57" s="7"/>
      <c r="Q57" s="7"/>
      <c r="R57" s="7"/>
      <c r="S57" s="7"/>
      <c r="T57" s="7"/>
      <c r="U57" s="7"/>
      <c r="V57" s="7"/>
      <c r="W57" s="7"/>
      <c r="X57" s="7"/>
      <c r="Y57" s="7"/>
      <c r="Z57" s="7"/>
      <c r="AA57" s="7"/>
      <c r="AB57" s="9">
        <f>IF(A57="","",IF(SUMPRODUCT(--EXACT($A$6:$A$105,A57))&gt;1,"TRÙNG SKU: XEM LẠI",""))</f>
        <v/>
      </c>
      <c r="AC57" s="10"/>
      <c r="AD57" s="7"/>
      <c r="AE57" s="7"/>
    </row>
    <row r="58" spans="1:31" ht="32" customHeight="1">
      <c r="A58" s="7"/>
      <c r="B58" s="7"/>
      <c r="C58" s="7"/>
      <c r="D58" s="7"/>
      <c r="E58" s="9">
        <f>IF(B58="","",IF(AND(OR(LEN(B58&amp;"")=13,LEN(B58&amp;"")=14),SUMPRODUCT(--ISNUMBER(FIND(MID(B58&amp;"",ROW($1:$14),1),"0123456789")),--(ROW($1:$14)&lt;=LEN(B58&amp;"")))=LEN(B58&amp;"")),IF(LEN(B58&amp;"")=13,"0"&amp;B58,B58&amp;""),"KIỂM TRA ĐỊNH DẠNG"))</f>
        <v/>
      </c>
      <c r="F58" s="9">
        <f>IF(C58="","",IF(AND(OR(LEN(C58&amp;"")=13,LEN(C58&amp;"")=14),SUMPRODUCT(--ISNUMBER(FIND(MID(C58&amp;"",ROW($1:$14),1),"0123456789")),--(ROW($1:$14)&lt;=LEN(C58&amp;"")))=LEN(C58&amp;"")),IF(LEN(C58&amp;"")=13,"0"&amp;C58,C58&amp;""),"KIỂM TRA ĐỊNH DẠNG"))</f>
        <v/>
      </c>
      <c r="G58" s="9">
        <f>IF(COUNTA(B58:D58)=0,"",IF(COUNTA(B58:D58)&lt;3,"THIẾU DỮ LIỆU",IF(OR(E58="KIỂM TRA ĐỊNH DẠNG",F58="KIỂM TRA ĐỊNH DẠNG",LEN(D58&amp;"")&lt;&gt;14),"KIỂM TRA ĐỊNH DẠNG",IF(AND(E58=F58,E58=D58&amp;""),"TRÙNG SỐ","LỆCH SỐ"))))</f>
        <v/>
      </c>
      <c r="H58" s="7"/>
      <c r="I58" s="7"/>
      <c r="J58" s="7"/>
      <c r="K58" s="9">
        <f>IF(COUNTA(H58:J58)=0,"",IF(COUNTA(H58:J58)&lt;3,"THIẾU DỮ LIỆU",IF(NOT(AND(AND(LEN(H58&amp;"")=10,SUMPRODUCT(--ISNUMBER(FIND(MID(H58&amp;"",ROW($1:$10),1),"0123456789")))=10),AND(LEN(I58&amp;"")=10,SUMPRODUCT(--ISNUMBER(FIND(MID(I58&amp;"",ROW($1:$10),1),"0123456789")))=10),AND(LEN(J58&amp;"")=10,SUMPRODUCT(--ISNUMBER(FIND(MID(J58&amp;"",ROW($1:$10),1),"0123456789")))=10))),"KIỂM TRA 10 CHỮ SỐ",IF(AND(H58&amp;""=I58&amp;"",H58&amp;""=J58&amp;""),"TRÙNG SỐ","LỆCH MÃ"))))</f>
        <v/>
      </c>
      <c r="L58" s="7"/>
      <c r="M58" s="7"/>
      <c r="N58" s="7"/>
      <c r="O58" s="7"/>
      <c r="P58" s="7"/>
      <c r="Q58" s="7"/>
      <c r="R58" s="7"/>
      <c r="S58" s="7"/>
      <c r="T58" s="7"/>
      <c r="U58" s="7"/>
      <c r="V58" s="7"/>
      <c r="W58" s="7"/>
      <c r="X58" s="7"/>
      <c r="Y58" s="7"/>
      <c r="Z58" s="7"/>
      <c r="AA58" s="7"/>
      <c r="AB58" s="9">
        <f>IF(A58="","",IF(SUMPRODUCT(--EXACT($A$6:$A$105,A58))&gt;1,"TRÙNG SKU: XEM LẠI",""))</f>
        <v/>
      </c>
      <c r="AC58" s="10"/>
      <c r="AD58" s="7"/>
      <c r="AE58" s="7"/>
    </row>
    <row r="59" spans="1:31" ht="32" customHeight="1">
      <c r="A59" s="7"/>
      <c r="B59" s="7"/>
      <c r="C59" s="7"/>
      <c r="D59" s="7"/>
      <c r="E59" s="9">
        <f>IF(B59="","",IF(AND(OR(LEN(B59&amp;"")=13,LEN(B59&amp;"")=14),SUMPRODUCT(--ISNUMBER(FIND(MID(B59&amp;"",ROW($1:$14),1),"0123456789")),--(ROW($1:$14)&lt;=LEN(B59&amp;"")))=LEN(B59&amp;"")),IF(LEN(B59&amp;"")=13,"0"&amp;B59,B59&amp;""),"KIỂM TRA ĐỊNH DẠNG"))</f>
        <v/>
      </c>
      <c r="F59" s="9">
        <f>IF(C59="","",IF(AND(OR(LEN(C59&amp;"")=13,LEN(C59&amp;"")=14),SUMPRODUCT(--ISNUMBER(FIND(MID(C59&amp;"",ROW($1:$14),1),"0123456789")),--(ROW($1:$14)&lt;=LEN(C59&amp;"")))=LEN(C59&amp;"")),IF(LEN(C59&amp;"")=13,"0"&amp;C59,C59&amp;""),"KIỂM TRA ĐỊNH DẠNG"))</f>
        <v/>
      </c>
      <c r="G59" s="9">
        <f>IF(COUNTA(B59:D59)=0,"",IF(COUNTA(B59:D59)&lt;3,"THIẾU DỮ LIỆU",IF(OR(E59="KIỂM TRA ĐỊNH DẠNG",F59="KIỂM TRA ĐỊNH DẠNG",LEN(D59&amp;"")&lt;&gt;14),"KIỂM TRA ĐỊNH DẠNG",IF(AND(E59=F59,E59=D59&amp;""),"TRÙNG SỐ","LỆCH SỐ"))))</f>
        <v/>
      </c>
      <c r="H59" s="7"/>
      <c r="I59" s="7"/>
      <c r="J59" s="7"/>
      <c r="K59" s="9">
        <f>IF(COUNTA(H59:J59)=0,"",IF(COUNTA(H59:J59)&lt;3,"THIẾU DỮ LIỆU",IF(NOT(AND(AND(LEN(H59&amp;"")=10,SUMPRODUCT(--ISNUMBER(FIND(MID(H59&amp;"",ROW($1:$10),1),"0123456789")))=10),AND(LEN(I59&amp;"")=10,SUMPRODUCT(--ISNUMBER(FIND(MID(I59&amp;"",ROW($1:$10),1),"0123456789")))=10),AND(LEN(J59&amp;"")=10,SUMPRODUCT(--ISNUMBER(FIND(MID(J59&amp;"",ROW($1:$10),1),"0123456789")))=10))),"KIỂM TRA 10 CHỮ SỐ",IF(AND(H59&amp;""=I59&amp;"",H59&amp;""=J59&amp;""),"TRÙNG SỐ","LỆCH MÃ"))))</f>
        <v/>
      </c>
      <c r="L59" s="7"/>
      <c r="M59" s="7"/>
      <c r="N59" s="7"/>
      <c r="O59" s="7"/>
      <c r="P59" s="7"/>
      <c r="Q59" s="7"/>
      <c r="R59" s="7"/>
      <c r="S59" s="7"/>
      <c r="T59" s="7"/>
      <c r="U59" s="7"/>
      <c r="V59" s="7"/>
      <c r="W59" s="7"/>
      <c r="X59" s="7"/>
      <c r="Y59" s="7"/>
      <c r="Z59" s="7"/>
      <c r="AA59" s="7"/>
      <c r="AB59" s="9">
        <f>IF(A59="","",IF(SUMPRODUCT(--EXACT($A$6:$A$105,A59))&gt;1,"TRÙNG SKU: XEM LẠI",""))</f>
        <v/>
      </c>
      <c r="AC59" s="10"/>
      <c r="AD59" s="7"/>
      <c r="AE59" s="7"/>
    </row>
    <row r="60" spans="1:31" ht="32" customHeight="1">
      <c r="A60" s="7"/>
      <c r="B60" s="7"/>
      <c r="C60" s="7"/>
      <c r="D60" s="7"/>
      <c r="E60" s="9">
        <f>IF(B60="","",IF(AND(OR(LEN(B60&amp;"")=13,LEN(B60&amp;"")=14),SUMPRODUCT(--ISNUMBER(FIND(MID(B60&amp;"",ROW($1:$14),1),"0123456789")),--(ROW($1:$14)&lt;=LEN(B60&amp;"")))=LEN(B60&amp;"")),IF(LEN(B60&amp;"")=13,"0"&amp;B60,B60&amp;""),"KIỂM TRA ĐỊNH DẠNG"))</f>
        <v/>
      </c>
      <c r="F60" s="9">
        <f>IF(C60="","",IF(AND(OR(LEN(C60&amp;"")=13,LEN(C60&amp;"")=14),SUMPRODUCT(--ISNUMBER(FIND(MID(C60&amp;"",ROW($1:$14),1),"0123456789")),--(ROW($1:$14)&lt;=LEN(C60&amp;"")))=LEN(C60&amp;"")),IF(LEN(C60&amp;"")=13,"0"&amp;C60,C60&amp;""),"KIỂM TRA ĐỊNH DẠNG"))</f>
        <v/>
      </c>
      <c r="G60" s="9">
        <f>IF(COUNTA(B60:D60)=0,"",IF(COUNTA(B60:D60)&lt;3,"THIẾU DỮ LIỆU",IF(OR(E60="KIỂM TRA ĐỊNH DẠNG",F60="KIỂM TRA ĐỊNH DẠNG",LEN(D60&amp;"")&lt;&gt;14),"KIỂM TRA ĐỊNH DẠNG",IF(AND(E60=F60,E60=D60&amp;""),"TRÙNG SỐ","LỆCH SỐ"))))</f>
        <v/>
      </c>
      <c r="H60" s="7"/>
      <c r="I60" s="7"/>
      <c r="J60" s="7"/>
      <c r="K60" s="9">
        <f>IF(COUNTA(H60:J60)=0,"",IF(COUNTA(H60:J60)&lt;3,"THIẾU DỮ LIỆU",IF(NOT(AND(AND(LEN(H60&amp;"")=10,SUMPRODUCT(--ISNUMBER(FIND(MID(H60&amp;"",ROW($1:$10),1),"0123456789")))=10),AND(LEN(I60&amp;"")=10,SUMPRODUCT(--ISNUMBER(FIND(MID(I60&amp;"",ROW($1:$10),1),"0123456789")))=10),AND(LEN(J60&amp;"")=10,SUMPRODUCT(--ISNUMBER(FIND(MID(J60&amp;"",ROW($1:$10),1),"0123456789")))=10))),"KIỂM TRA 10 CHỮ SỐ",IF(AND(H60&amp;""=I60&amp;"",H60&amp;""=J60&amp;""),"TRÙNG SỐ","LỆCH MÃ"))))</f>
        <v/>
      </c>
      <c r="L60" s="7"/>
      <c r="M60" s="7"/>
      <c r="N60" s="7"/>
      <c r="O60" s="7"/>
      <c r="P60" s="7"/>
      <c r="Q60" s="7"/>
      <c r="R60" s="7"/>
      <c r="S60" s="7"/>
      <c r="T60" s="7"/>
      <c r="U60" s="7"/>
      <c r="V60" s="7"/>
      <c r="W60" s="7"/>
      <c r="X60" s="7"/>
      <c r="Y60" s="7"/>
      <c r="Z60" s="7"/>
      <c r="AA60" s="7"/>
      <c r="AB60" s="9">
        <f>IF(A60="","",IF(SUMPRODUCT(--EXACT($A$6:$A$105,A60))&gt;1,"TRÙNG SKU: XEM LẠI",""))</f>
        <v/>
      </c>
      <c r="AC60" s="10"/>
      <c r="AD60" s="7"/>
      <c r="AE60" s="7"/>
    </row>
    <row r="61" spans="1:31" ht="32" customHeight="1">
      <c r="A61" s="7"/>
      <c r="B61" s="7"/>
      <c r="C61" s="7"/>
      <c r="D61" s="7"/>
      <c r="E61" s="9">
        <f>IF(B61="","",IF(AND(OR(LEN(B61&amp;"")=13,LEN(B61&amp;"")=14),SUMPRODUCT(--ISNUMBER(FIND(MID(B61&amp;"",ROW($1:$14),1),"0123456789")),--(ROW($1:$14)&lt;=LEN(B61&amp;"")))=LEN(B61&amp;"")),IF(LEN(B61&amp;"")=13,"0"&amp;B61,B61&amp;""),"KIỂM TRA ĐỊNH DẠNG"))</f>
        <v/>
      </c>
      <c r="F61" s="9">
        <f>IF(C61="","",IF(AND(OR(LEN(C61&amp;"")=13,LEN(C61&amp;"")=14),SUMPRODUCT(--ISNUMBER(FIND(MID(C61&amp;"",ROW($1:$14),1),"0123456789")),--(ROW($1:$14)&lt;=LEN(C61&amp;"")))=LEN(C61&amp;"")),IF(LEN(C61&amp;"")=13,"0"&amp;C61,C61&amp;""),"KIỂM TRA ĐỊNH DẠNG"))</f>
        <v/>
      </c>
      <c r="G61" s="9">
        <f>IF(COUNTA(B61:D61)=0,"",IF(COUNTA(B61:D61)&lt;3,"THIẾU DỮ LIỆU",IF(OR(E61="KIỂM TRA ĐỊNH DẠNG",F61="KIỂM TRA ĐỊNH DẠNG",LEN(D61&amp;"")&lt;&gt;14),"KIỂM TRA ĐỊNH DẠNG",IF(AND(E61=F61,E61=D61&amp;""),"TRÙNG SỐ","LỆCH SỐ"))))</f>
        <v/>
      </c>
      <c r="H61" s="7"/>
      <c r="I61" s="7"/>
      <c r="J61" s="7"/>
      <c r="K61" s="9">
        <f>IF(COUNTA(H61:J61)=0,"",IF(COUNTA(H61:J61)&lt;3,"THIẾU DỮ LIỆU",IF(NOT(AND(AND(LEN(H61&amp;"")=10,SUMPRODUCT(--ISNUMBER(FIND(MID(H61&amp;"",ROW($1:$10),1),"0123456789")))=10),AND(LEN(I61&amp;"")=10,SUMPRODUCT(--ISNUMBER(FIND(MID(I61&amp;"",ROW($1:$10),1),"0123456789")))=10),AND(LEN(J61&amp;"")=10,SUMPRODUCT(--ISNUMBER(FIND(MID(J61&amp;"",ROW($1:$10),1),"0123456789")))=10))),"KIỂM TRA 10 CHỮ SỐ",IF(AND(H61&amp;""=I61&amp;"",H61&amp;""=J61&amp;""),"TRÙNG SỐ","LỆCH MÃ"))))</f>
        <v/>
      </c>
      <c r="L61" s="7"/>
      <c r="M61" s="7"/>
      <c r="N61" s="7"/>
      <c r="O61" s="7"/>
      <c r="P61" s="7"/>
      <c r="Q61" s="7"/>
      <c r="R61" s="7"/>
      <c r="S61" s="7"/>
      <c r="T61" s="7"/>
      <c r="U61" s="7"/>
      <c r="V61" s="7"/>
      <c r="W61" s="7"/>
      <c r="X61" s="7"/>
      <c r="Y61" s="7"/>
      <c r="Z61" s="7"/>
      <c r="AA61" s="7"/>
      <c r="AB61" s="9">
        <f>IF(A61="","",IF(SUMPRODUCT(--EXACT($A$6:$A$105,A61))&gt;1,"TRÙNG SKU: XEM LẠI",""))</f>
        <v/>
      </c>
      <c r="AC61" s="10"/>
      <c r="AD61" s="7"/>
      <c r="AE61" s="7"/>
    </row>
    <row r="62" spans="1:31" ht="32" customHeight="1">
      <c r="A62" s="7"/>
      <c r="B62" s="7"/>
      <c r="C62" s="7"/>
      <c r="D62" s="7"/>
      <c r="E62" s="9">
        <f>IF(B62="","",IF(AND(OR(LEN(B62&amp;"")=13,LEN(B62&amp;"")=14),SUMPRODUCT(--ISNUMBER(FIND(MID(B62&amp;"",ROW($1:$14),1),"0123456789")),--(ROW($1:$14)&lt;=LEN(B62&amp;"")))=LEN(B62&amp;"")),IF(LEN(B62&amp;"")=13,"0"&amp;B62,B62&amp;""),"KIỂM TRA ĐỊNH DẠNG"))</f>
        <v/>
      </c>
      <c r="F62" s="9">
        <f>IF(C62="","",IF(AND(OR(LEN(C62&amp;"")=13,LEN(C62&amp;"")=14),SUMPRODUCT(--ISNUMBER(FIND(MID(C62&amp;"",ROW($1:$14),1),"0123456789")),--(ROW($1:$14)&lt;=LEN(C62&amp;"")))=LEN(C62&amp;"")),IF(LEN(C62&amp;"")=13,"0"&amp;C62,C62&amp;""),"KIỂM TRA ĐỊNH DẠNG"))</f>
        <v/>
      </c>
      <c r="G62" s="9">
        <f>IF(COUNTA(B62:D62)=0,"",IF(COUNTA(B62:D62)&lt;3,"THIẾU DỮ LIỆU",IF(OR(E62="KIỂM TRA ĐỊNH DẠNG",F62="KIỂM TRA ĐỊNH DẠNG",LEN(D62&amp;"")&lt;&gt;14),"KIỂM TRA ĐỊNH DẠNG",IF(AND(E62=F62,E62=D62&amp;""),"TRÙNG SỐ","LỆCH SỐ"))))</f>
        <v/>
      </c>
      <c r="H62" s="7"/>
      <c r="I62" s="7"/>
      <c r="J62" s="7"/>
      <c r="K62" s="9">
        <f>IF(COUNTA(H62:J62)=0,"",IF(COUNTA(H62:J62)&lt;3,"THIẾU DỮ LIỆU",IF(NOT(AND(AND(LEN(H62&amp;"")=10,SUMPRODUCT(--ISNUMBER(FIND(MID(H62&amp;"",ROW($1:$10),1),"0123456789")))=10),AND(LEN(I62&amp;"")=10,SUMPRODUCT(--ISNUMBER(FIND(MID(I62&amp;"",ROW($1:$10),1),"0123456789")))=10),AND(LEN(J62&amp;"")=10,SUMPRODUCT(--ISNUMBER(FIND(MID(J62&amp;"",ROW($1:$10),1),"0123456789")))=10))),"KIỂM TRA 10 CHỮ SỐ",IF(AND(H62&amp;""=I62&amp;"",H62&amp;""=J62&amp;""),"TRÙNG SỐ","LỆCH MÃ"))))</f>
        <v/>
      </c>
      <c r="L62" s="7"/>
      <c r="M62" s="7"/>
      <c r="N62" s="7"/>
      <c r="O62" s="7"/>
      <c r="P62" s="7"/>
      <c r="Q62" s="7"/>
      <c r="R62" s="7"/>
      <c r="S62" s="7"/>
      <c r="T62" s="7"/>
      <c r="U62" s="7"/>
      <c r="V62" s="7"/>
      <c r="W62" s="7"/>
      <c r="X62" s="7"/>
      <c r="Y62" s="7"/>
      <c r="Z62" s="7"/>
      <c r="AA62" s="7"/>
      <c r="AB62" s="9">
        <f>IF(A62="","",IF(SUMPRODUCT(--EXACT($A$6:$A$105,A62))&gt;1,"TRÙNG SKU: XEM LẠI",""))</f>
        <v/>
      </c>
      <c r="AC62" s="10"/>
      <c r="AD62" s="7"/>
      <c r="AE62" s="7"/>
    </row>
    <row r="63" spans="1:31" ht="32" customHeight="1">
      <c r="A63" s="7"/>
      <c r="B63" s="7"/>
      <c r="C63" s="7"/>
      <c r="D63" s="7"/>
      <c r="E63" s="9">
        <f>IF(B63="","",IF(AND(OR(LEN(B63&amp;"")=13,LEN(B63&amp;"")=14),SUMPRODUCT(--ISNUMBER(FIND(MID(B63&amp;"",ROW($1:$14),1),"0123456789")),--(ROW($1:$14)&lt;=LEN(B63&amp;"")))=LEN(B63&amp;"")),IF(LEN(B63&amp;"")=13,"0"&amp;B63,B63&amp;""),"KIỂM TRA ĐỊNH DẠNG"))</f>
        <v/>
      </c>
      <c r="F63" s="9">
        <f>IF(C63="","",IF(AND(OR(LEN(C63&amp;"")=13,LEN(C63&amp;"")=14),SUMPRODUCT(--ISNUMBER(FIND(MID(C63&amp;"",ROW($1:$14),1),"0123456789")),--(ROW($1:$14)&lt;=LEN(C63&amp;"")))=LEN(C63&amp;"")),IF(LEN(C63&amp;"")=13,"0"&amp;C63,C63&amp;""),"KIỂM TRA ĐỊNH DẠNG"))</f>
        <v/>
      </c>
      <c r="G63" s="9">
        <f>IF(COUNTA(B63:D63)=0,"",IF(COUNTA(B63:D63)&lt;3,"THIẾU DỮ LIỆU",IF(OR(E63="KIỂM TRA ĐỊNH DẠNG",F63="KIỂM TRA ĐỊNH DẠNG",LEN(D63&amp;"")&lt;&gt;14),"KIỂM TRA ĐỊNH DẠNG",IF(AND(E63=F63,E63=D63&amp;""),"TRÙNG SỐ","LỆCH SỐ"))))</f>
        <v/>
      </c>
      <c r="H63" s="7"/>
      <c r="I63" s="7"/>
      <c r="J63" s="7"/>
      <c r="K63" s="9">
        <f>IF(COUNTA(H63:J63)=0,"",IF(COUNTA(H63:J63)&lt;3,"THIẾU DỮ LIỆU",IF(NOT(AND(AND(LEN(H63&amp;"")=10,SUMPRODUCT(--ISNUMBER(FIND(MID(H63&amp;"",ROW($1:$10),1),"0123456789")))=10),AND(LEN(I63&amp;"")=10,SUMPRODUCT(--ISNUMBER(FIND(MID(I63&amp;"",ROW($1:$10),1),"0123456789")))=10),AND(LEN(J63&amp;"")=10,SUMPRODUCT(--ISNUMBER(FIND(MID(J63&amp;"",ROW($1:$10),1),"0123456789")))=10))),"KIỂM TRA 10 CHỮ SỐ",IF(AND(H63&amp;""=I63&amp;"",H63&amp;""=J63&amp;""),"TRÙNG SỐ","LỆCH MÃ"))))</f>
        <v/>
      </c>
      <c r="L63" s="7"/>
      <c r="M63" s="7"/>
      <c r="N63" s="7"/>
      <c r="O63" s="7"/>
      <c r="P63" s="7"/>
      <c r="Q63" s="7"/>
      <c r="R63" s="7"/>
      <c r="S63" s="7"/>
      <c r="T63" s="7"/>
      <c r="U63" s="7"/>
      <c r="V63" s="7"/>
      <c r="W63" s="7"/>
      <c r="X63" s="7"/>
      <c r="Y63" s="7"/>
      <c r="Z63" s="7"/>
      <c r="AA63" s="7"/>
      <c r="AB63" s="9">
        <f>IF(A63="","",IF(SUMPRODUCT(--EXACT($A$6:$A$105,A63))&gt;1,"TRÙNG SKU: XEM LẠI",""))</f>
        <v/>
      </c>
      <c r="AC63" s="10"/>
      <c r="AD63" s="7"/>
      <c r="AE63" s="7"/>
    </row>
    <row r="64" spans="1:31" ht="32" customHeight="1">
      <c r="A64" s="7"/>
      <c r="B64" s="7"/>
      <c r="C64" s="7"/>
      <c r="D64" s="7"/>
      <c r="E64" s="9">
        <f>IF(B64="","",IF(AND(OR(LEN(B64&amp;"")=13,LEN(B64&amp;"")=14),SUMPRODUCT(--ISNUMBER(FIND(MID(B64&amp;"",ROW($1:$14),1),"0123456789")),--(ROW($1:$14)&lt;=LEN(B64&amp;"")))=LEN(B64&amp;"")),IF(LEN(B64&amp;"")=13,"0"&amp;B64,B64&amp;""),"KIỂM TRA ĐỊNH DẠNG"))</f>
        <v/>
      </c>
      <c r="F64" s="9">
        <f>IF(C64="","",IF(AND(OR(LEN(C64&amp;"")=13,LEN(C64&amp;"")=14),SUMPRODUCT(--ISNUMBER(FIND(MID(C64&amp;"",ROW($1:$14),1),"0123456789")),--(ROW($1:$14)&lt;=LEN(C64&amp;"")))=LEN(C64&amp;"")),IF(LEN(C64&amp;"")=13,"0"&amp;C64,C64&amp;""),"KIỂM TRA ĐỊNH DẠNG"))</f>
        <v/>
      </c>
      <c r="G64" s="9">
        <f>IF(COUNTA(B64:D64)=0,"",IF(COUNTA(B64:D64)&lt;3,"THIẾU DỮ LIỆU",IF(OR(E64="KIỂM TRA ĐỊNH DẠNG",F64="KIỂM TRA ĐỊNH DẠNG",LEN(D64&amp;"")&lt;&gt;14),"KIỂM TRA ĐỊNH DẠNG",IF(AND(E64=F64,E64=D64&amp;""),"TRÙNG SỐ","LỆCH SỐ"))))</f>
        <v/>
      </c>
      <c r="H64" s="7"/>
      <c r="I64" s="7"/>
      <c r="J64" s="7"/>
      <c r="K64" s="9">
        <f>IF(COUNTA(H64:J64)=0,"",IF(COUNTA(H64:J64)&lt;3,"THIẾU DỮ LIỆU",IF(NOT(AND(AND(LEN(H64&amp;"")=10,SUMPRODUCT(--ISNUMBER(FIND(MID(H64&amp;"",ROW($1:$10),1),"0123456789")))=10),AND(LEN(I64&amp;"")=10,SUMPRODUCT(--ISNUMBER(FIND(MID(I64&amp;"",ROW($1:$10),1),"0123456789")))=10),AND(LEN(J64&amp;"")=10,SUMPRODUCT(--ISNUMBER(FIND(MID(J64&amp;"",ROW($1:$10),1),"0123456789")))=10))),"KIỂM TRA 10 CHỮ SỐ",IF(AND(H64&amp;""=I64&amp;"",H64&amp;""=J64&amp;""),"TRÙNG SỐ","LỆCH MÃ"))))</f>
        <v/>
      </c>
      <c r="L64" s="7"/>
      <c r="M64" s="7"/>
      <c r="N64" s="7"/>
      <c r="O64" s="7"/>
      <c r="P64" s="7"/>
      <c r="Q64" s="7"/>
      <c r="R64" s="7"/>
      <c r="S64" s="7"/>
      <c r="T64" s="7"/>
      <c r="U64" s="7"/>
      <c r="V64" s="7"/>
      <c r="W64" s="7"/>
      <c r="X64" s="7"/>
      <c r="Y64" s="7"/>
      <c r="Z64" s="7"/>
      <c r="AA64" s="7"/>
      <c r="AB64" s="9">
        <f>IF(A64="","",IF(SUMPRODUCT(--EXACT($A$6:$A$105,A64))&gt;1,"TRÙNG SKU: XEM LẠI",""))</f>
        <v/>
      </c>
      <c r="AC64" s="10"/>
      <c r="AD64" s="7"/>
      <c r="AE64" s="7"/>
    </row>
    <row r="65" spans="1:31" ht="32" customHeight="1">
      <c r="A65" s="7"/>
      <c r="B65" s="7"/>
      <c r="C65" s="7"/>
      <c r="D65" s="7"/>
      <c r="E65" s="9">
        <f>IF(B65="","",IF(AND(OR(LEN(B65&amp;"")=13,LEN(B65&amp;"")=14),SUMPRODUCT(--ISNUMBER(FIND(MID(B65&amp;"",ROW($1:$14),1),"0123456789")),--(ROW($1:$14)&lt;=LEN(B65&amp;"")))=LEN(B65&amp;"")),IF(LEN(B65&amp;"")=13,"0"&amp;B65,B65&amp;""),"KIỂM TRA ĐỊNH DẠNG"))</f>
        <v/>
      </c>
      <c r="F65" s="9">
        <f>IF(C65="","",IF(AND(OR(LEN(C65&amp;"")=13,LEN(C65&amp;"")=14),SUMPRODUCT(--ISNUMBER(FIND(MID(C65&amp;"",ROW($1:$14),1),"0123456789")),--(ROW($1:$14)&lt;=LEN(C65&amp;"")))=LEN(C65&amp;"")),IF(LEN(C65&amp;"")=13,"0"&amp;C65,C65&amp;""),"KIỂM TRA ĐỊNH DẠNG"))</f>
        <v/>
      </c>
      <c r="G65" s="9">
        <f>IF(COUNTA(B65:D65)=0,"",IF(COUNTA(B65:D65)&lt;3,"THIẾU DỮ LIỆU",IF(OR(E65="KIỂM TRA ĐỊNH DẠNG",F65="KIỂM TRA ĐỊNH DẠNG",LEN(D65&amp;"")&lt;&gt;14),"KIỂM TRA ĐỊNH DẠNG",IF(AND(E65=F65,E65=D65&amp;""),"TRÙNG SỐ","LỆCH SỐ"))))</f>
        <v/>
      </c>
      <c r="H65" s="7"/>
      <c r="I65" s="7"/>
      <c r="J65" s="7"/>
      <c r="K65" s="9">
        <f>IF(COUNTA(H65:J65)=0,"",IF(COUNTA(H65:J65)&lt;3,"THIẾU DỮ LIỆU",IF(NOT(AND(AND(LEN(H65&amp;"")=10,SUMPRODUCT(--ISNUMBER(FIND(MID(H65&amp;"",ROW($1:$10),1),"0123456789")))=10),AND(LEN(I65&amp;"")=10,SUMPRODUCT(--ISNUMBER(FIND(MID(I65&amp;"",ROW($1:$10),1),"0123456789")))=10),AND(LEN(J65&amp;"")=10,SUMPRODUCT(--ISNUMBER(FIND(MID(J65&amp;"",ROW($1:$10),1),"0123456789")))=10))),"KIỂM TRA 10 CHỮ SỐ",IF(AND(H65&amp;""=I65&amp;"",H65&amp;""=J65&amp;""),"TRÙNG SỐ","LỆCH MÃ"))))</f>
        <v/>
      </c>
      <c r="L65" s="7"/>
      <c r="M65" s="7"/>
      <c r="N65" s="7"/>
      <c r="O65" s="7"/>
      <c r="P65" s="7"/>
      <c r="Q65" s="7"/>
      <c r="R65" s="7"/>
      <c r="S65" s="7"/>
      <c r="T65" s="7"/>
      <c r="U65" s="7"/>
      <c r="V65" s="7"/>
      <c r="W65" s="7"/>
      <c r="X65" s="7"/>
      <c r="Y65" s="7"/>
      <c r="Z65" s="7"/>
      <c r="AA65" s="7"/>
      <c r="AB65" s="9">
        <f>IF(A65="","",IF(SUMPRODUCT(--EXACT($A$6:$A$105,A65))&gt;1,"TRÙNG SKU: XEM LẠI",""))</f>
        <v/>
      </c>
      <c r="AC65" s="10"/>
      <c r="AD65" s="7"/>
      <c r="AE65" s="7"/>
    </row>
    <row r="66" spans="1:31" ht="32" customHeight="1">
      <c r="A66" s="7"/>
      <c r="B66" s="7"/>
      <c r="C66" s="7"/>
      <c r="D66" s="7"/>
      <c r="E66" s="9">
        <f>IF(B66="","",IF(AND(OR(LEN(B66&amp;"")=13,LEN(B66&amp;"")=14),SUMPRODUCT(--ISNUMBER(FIND(MID(B66&amp;"",ROW($1:$14),1),"0123456789")),--(ROW($1:$14)&lt;=LEN(B66&amp;"")))=LEN(B66&amp;"")),IF(LEN(B66&amp;"")=13,"0"&amp;B66,B66&amp;""),"KIỂM TRA ĐỊNH DẠNG"))</f>
        <v/>
      </c>
      <c r="F66" s="9">
        <f>IF(C66="","",IF(AND(OR(LEN(C66&amp;"")=13,LEN(C66&amp;"")=14),SUMPRODUCT(--ISNUMBER(FIND(MID(C66&amp;"",ROW($1:$14),1),"0123456789")),--(ROW($1:$14)&lt;=LEN(C66&amp;"")))=LEN(C66&amp;"")),IF(LEN(C66&amp;"")=13,"0"&amp;C66,C66&amp;""),"KIỂM TRA ĐỊNH DẠNG"))</f>
        <v/>
      </c>
      <c r="G66" s="9">
        <f>IF(COUNTA(B66:D66)=0,"",IF(COUNTA(B66:D66)&lt;3,"THIẾU DỮ LIỆU",IF(OR(E66="KIỂM TRA ĐỊNH DẠNG",F66="KIỂM TRA ĐỊNH DẠNG",LEN(D66&amp;"")&lt;&gt;14),"KIỂM TRA ĐỊNH DẠNG",IF(AND(E66=F66,E66=D66&amp;""),"TRÙNG SỐ","LỆCH SỐ"))))</f>
        <v/>
      </c>
      <c r="H66" s="7"/>
      <c r="I66" s="7"/>
      <c r="J66" s="7"/>
      <c r="K66" s="9">
        <f>IF(COUNTA(H66:J66)=0,"",IF(COUNTA(H66:J66)&lt;3,"THIẾU DỮ LIỆU",IF(NOT(AND(AND(LEN(H66&amp;"")=10,SUMPRODUCT(--ISNUMBER(FIND(MID(H66&amp;"",ROW($1:$10),1),"0123456789")))=10),AND(LEN(I66&amp;"")=10,SUMPRODUCT(--ISNUMBER(FIND(MID(I66&amp;"",ROW($1:$10),1),"0123456789")))=10),AND(LEN(J66&amp;"")=10,SUMPRODUCT(--ISNUMBER(FIND(MID(J66&amp;"",ROW($1:$10),1),"0123456789")))=10))),"KIỂM TRA 10 CHỮ SỐ",IF(AND(H66&amp;""=I66&amp;"",H66&amp;""=J66&amp;""),"TRÙNG SỐ","LỆCH MÃ"))))</f>
        <v/>
      </c>
      <c r="L66" s="7"/>
      <c r="M66" s="7"/>
      <c r="N66" s="7"/>
      <c r="O66" s="7"/>
      <c r="P66" s="7"/>
      <c r="Q66" s="7"/>
      <c r="R66" s="7"/>
      <c r="S66" s="7"/>
      <c r="T66" s="7"/>
      <c r="U66" s="7"/>
      <c r="V66" s="7"/>
      <c r="W66" s="7"/>
      <c r="X66" s="7"/>
      <c r="Y66" s="7"/>
      <c r="Z66" s="7"/>
      <c r="AA66" s="7"/>
      <c r="AB66" s="9">
        <f>IF(A66="","",IF(SUMPRODUCT(--EXACT($A$6:$A$105,A66))&gt;1,"TRÙNG SKU: XEM LẠI",""))</f>
        <v/>
      </c>
      <c r="AC66" s="10"/>
      <c r="AD66" s="7"/>
      <c r="AE66" s="7"/>
    </row>
    <row r="67" spans="1:31" ht="32" customHeight="1">
      <c r="A67" s="7"/>
      <c r="B67" s="7"/>
      <c r="C67" s="7"/>
      <c r="D67" s="7"/>
      <c r="E67" s="9">
        <f>IF(B67="","",IF(AND(OR(LEN(B67&amp;"")=13,LEN(B67&amp;"")=14),SUMPRODUCT(--ISNUMBER(FIND(MID(B67&amp;"",ROW($1:$14),1),"0123456789")),--(ROW($1:$14)&lt;=LEN(B67&amp;"")))=LEN(B67&amp;"")),IF(LEN(B67&amp;"")=13,"0"&amp;B67,B67&amp;""),"KIỂM TRA ĐỊNH DẠNG"))</f>
        <v/>
      </c>
      <c r="F67" s="9">
        <f>IF(C67="","",IF(AND(OR(LEN(C67&amp;"")=13,LEN(C67&amp;"")=14),SUMPRODUCT(--ISNUMBER(FIND(MID(C67&amp;"",ROW($1:$14),1),"0123456789")),--(ROW($1:$14)&lt;=LEN(C67&amp;"")))=LEN(C67&amp;"")),IF(LEN(C67&amp;"")=13,"0"&amp;C67,C67&amp;""),"KIỂM TRA ĐỊNH DẠNG"))</f>
        <v/>
      </c>
      <c r="G67" s="9">
        <f>IF(COUNTA(B67:D67)=0,"",IF(COUNTA(B67:D67)&lt;3,"THIẾU DỮ LIỆU",IF(OR(E67="KIỂM TRA ĐỊNH DẠNG",F67="KIỂM TRA ĐỊNH DẠNG",LEN(D67&amp;"")&lt;&gt;14),"KIỂM TRA ĐỊNH DẠNG",IF(AND(E67=F67,E67=D67&amp;""),"TRÙNG SỐ","LỆCH SỐ"))))</f>
        <v/>
      </c>
      <c r="H67" s="7"/>
      <c r="I67" s="7"/>
      <c r="J67" s="7"/>
      <c r="K67" s="9">
        <f>IF(COUNTA(H67:J67)=0,"",IF(COUNTA(H67:J67)&lt;3,"THIẾU DỮ LIỆU",IF(NOT(AND(AND(LEN(H67&amp;"")=10,SUMPRODUCT(--ISNUMBER(FIND(MID(H67&amp;"",ROW($1:$10),1),"0123456789")))=10),AND(LEN(I67&amp;"")=10,SUMPRODUCT(--ISNUMBER(FIND(MID(I67&amp;"",ROW($1:$10),1),"0123456789")))=10),AND(LEN(J67&amp;"")=10,SUMPRODUCT(--ISNUMBER(FIND(MID(J67&amp;"",ROW($1:$10),1),"0123456789")))=10))),"KIỂM TRA 10 CHỮ SỐ",IF(AND(H67&amp;""=I67&amp;"",H67&amp;""=J67&amp;""),"TRÙNG SỐ","LỆCH MÃ"))))</f>
        <v/>
      </c>
      <c r="L67" s="7"/>
      <c r="M67" s="7"/>
      <c r="N67" s="7"/>
      <c r="O67" s="7"/>
      <c r="P67" s="7"/>
      <c r="Q67" s="7"/>
      <c r="R67" s="7"/>
      <c r="S67" s="7"/>
      <c r="T67" s="7"/>
      <c r="U67" s="7"/>
      <c r="V67" s="7"/>
      <c r="W67" s="7"/>
      <c r="X67" s="7"/>
      <c r="Y67" s="7"/>
      <c r="Z67" s="7"/>
      <c r="AA67" s="7"/>
      <c r="AB67" s="9">
        <f>IF(A67="","",IF(SUMPRODUCT(--EXACT($A$6:$A$105,A67))&gt;1,"TRÙNG SKU: XEM LẠI",""))</f>
        <v/>
      </c>
      <c r="AC67" s="10"/>
      <c r="AD67" s="7"/>
      <c r="AE67" s="7"/>
    </row>
    <row r="68" spans="1:31" ht="32" customHeight="1">
      <c r="A68" s="7"/>
      <c r="B68" s="7"/>
      <c r="C68" s="7"/>
      <c r="D68" s="7"/>
      <c r="E68" s="9">
        <f>IF(B68="","",IF(AND(OR(LEN(B68&amp;"")=13,LEN(B68&amp;"")=14),SUMPRODUCT(--ISNUMBER(FIND(MID(B68&amp;"",ROW($1:$14),1),"0123456789")),--(ROW($1:$14)&lt;=LEN(B68&amp;"")))=LEN(B68&amp;"")),IF(LEN(B68&amp;"")=13,"0"&amp;B68,B68&amp;""),"KIỂM TRA ĐỊNH DẠNG"))</f>
        <v/>
      </c>
      <c r="F68" s="9">
        <f>IF(C68="","",IF(AND(OR(LEN(C68&amp;"")=13,LEN(C68&amp;"")=14),SUMPRODUCT(--ISNUMBER(FIND(MID(C68&amp;"",ROW($1:$14),1),"0123456789")),--(ROW($1:$14)&lt;=LEN(C68&amp;"")))=LEN(C68&amp;"")),IF(LEN(C68&amp;"")=13,"0"&amp;C68,C68&amp;""),"KIỂM TRA ĐỊNH DẠNG"))</f>
        <v/>
      </c>
      <c r="G68" s="9">
        <f>IF(COUNTA(B68:D68)=0,"",IF(COUNTA(B68:D68)&lt;3,"THIẾU DỮ LIỆU",IF(OR(E68="KIỂM TRA ĐỊNH DẠNG",F68="KIỂM TRA ĐỊNH DẠNG",LEN(D68&amp;"")&lt;&gt;14),"KIỂM TRA ĐỊNH DẠNG",IF(AND(E68=F68,E68=D68&amp;""),"TRÙNG SỐ","LỆCH SỐ"))))</f>
        <v/>
      </c>
      <c r="H68" s="7"/>
      <c r="I68" s="7"/>
      <c r="J68" s="7"/>
      <c r="K68" s="9">
        <f>IF(COUNTA(H68:J68)=0,"",IF(COUNTA(H68:J68)&lt;3,"THIẾU DỮ LIỆU",IF(NOT(AND(AND(LEN(H68&amp;"")=10,SUMPRODUCT(--ISNUMBER(FIND(MID(H68&amp;"",ROW($1:$10),1),"0123456789")))=10),AND(LEN(I68&amp;"")=10,SUMPRODUCT(--ISNUMBER(FIND(MID(I68&amp;"",ROW($1:$10),1),"0123456789")))=10),AND(LEN(J68&amp;"")=10,SUMPRODUCT(--ISNUMBER(FIND(MID(J68&amp;"",ROW($1:$10),1),"0123456789")))=10))),"KIỂM TRA 10 CHỮ SỐ",IF(AND(H68&amp;""=I68&amp;"",H68&amp;""=J68&amp;""),"TRÙNG SỐ","LỆCH MÃ"))))</f>
        <v/>
      </c>
      <c r="L68" s="7"/>
      <c r="M68" s="7"/>
      <c r="N68" s="7"/>
      <c r="O68" s="7"/>
      <c r="P68" s="7"/>
      <c r="Q68" s="7"/>
      <c r="R68" s="7"/>
      <c r="S68" s="7"/>
      <c r="T68" s="7"/>
      <c r="U68" s="7"/>
      <c r="V68" s="7"/>
      <c r="W68" s="7"/>
      <c r="X68" s="7"/>
      <c r="Y68" s="7"/>
      <c r="Z68" s="7"/>
      <c r="AA68" s="7"/>
      <c r="AB68" s="9">
        <f>IF(A68="","",IF(SUMPRODUCT(--EXACT($A$6:$A$105,A68))&gt;1,"TRÙNG SKU: XEM LẠI",""))</f>
        <v/>
      </c>
      <c r="AC68" s="10"/>
      <c r="AD68" s="7"/>
      <c r="AE68" s="7"/>
    </row>
    <row r="69" spans="1:31" ht="32" customHeight="1">
      <c r="A69" s="7"/>
      <c r="B69" s="7"/>
      <c r="C69" s="7"/>
      <c r="D69" s="7"/>
      <c r="E69" s="9">
        <f>IF(B69="","",IF(AND(OR(LEN(B69&amp;"")=13,LEN(B69&amp;"")=14),SUMPRODUCT(--ISNUMBER(FIND(MID(B69&amp;"",ROW($1:$14),1),"0123456789")),--(ROW($1:$14)&lt;=LEN(B69&amp;"")))=LEN(B69&amp;"")),IF(LEN(B69&amp;"")=13,"0"&amp;B69,B69&amp;""),"KIỂM TRA ĐỊNH DẠNG"))</f>
        <v/>
      </c>
      <c r="F69" s="9">
        <f>IF(C69="","",IF(AND(OR(LEN(C69&amp;"")=13,LEN(C69&amp;"")=14),SUMPRODUCT(--ISNUMBER(FIND(MID(C69&amp;"",ROW($1:$14),1),"0123456789")),--(ROW($1:$14)&lt;=LEN(C69&amp;"")))=LEN(C69&amp;"")),IF(LEN(C69&amp;"")=13,"0"&amp;C69,C69&amp;""),"KIỂM TRA ĐỊNH DẠNG"))</f>
        <v/>
      </c>
      <c r="G69" s="9">
        <f>IF(COUNTA(B69:D69)=0,"",IF(COUNTA(B69:D69)&lt;3,"THIẾU DỮ LIỆU",IF(OR(E69="KIỂM TRA ĐỊNH DẠNG",F69="KIỂM TRA ĐỊNH DẠNG",LEN(D69&amp;"")&lt;&gt;14),"KIỂM TRA ĐỊNH DẠNG",IF(AND(E69=F69,E69=D69&amp;""),"TRÙNG SỐ","LỆCH SỐ"))))</f>
        <v/>
      </c>
      <c r="H69" s="7"/>
      <c r="I69" s="7"/>
      <c r="J69" s="7"/>
      <c r="K69" s="9">
        <f>IF(COUNTA(H69:J69)=0,"",IF(COUNTA(H69:J69)&lt;3,"THIẾU DỮ LIỆU",IF(NOT(AND(AND(LEN(H69&amp;"")=10,SUMPRODUCT(--ISNUMBER(FIND(MID(H69&amp;"",ROW($1:$10),1),"0123456789")))=10),AND(LEN(I69&amp;"")=10,SUMPRODUCT(--ISNUMBER(FIND(MID(I69&amp;"",ROW($1:$10),1),"0123456789")))=10),AND(LEN(J69&amp;"")=10,SUMPRODUCT(--ISNUMBER(FIND(MID(J69&amp;"",ROW($1:$10),1),"0123456789")))=10))),"KIỂM TRA 10 CHỮ SỐ",IF(AND(H69&amp;""=I69&amp;"",H69&amp;""=J69&amp;""),"TRÙNG SỐ","LỆCH MÃ"))))</f>
        <v/>
      </c>
      <c r="L69" s="7"/>
      <c r="M69" s="7"/>
      <c r="N69" s="7"/>
      <c r="O69" s="7"/>
      <c r="P69" s="7"/>
      <c r="Q69" s="7"/>
      <c r="R69" s="7"/>
      <c r="S69" s="7"/>
      <c r="T69" s="7"/>
      <c r="U69" s="7"/>
      <c r="V69" s="7"/>
      <c r="W69" s="7"/>
      <c r="X69" s="7"/>
      <c r="Y69" s="7"/>
      <c r="Z69" s="7"/>
      <c r="AA69" s="7"/>
      <c r="AB69" s="9">
        <f>IF(A69="","",IF(SUMPRODUCT(--EXACT($A$6:$A$105,A69))&gt;1,"TRÙNG SKU: XEM LẠI",""))</f>
        <v/>
      </c>
      <c r="AC69" s="10"/>
      <c r="AD69" s="7"/>
      <c r="AE69" s="7"/>
    </row>
    <row r="70" spans="1:31" ht="32" customHeight="1">
      <c r="A70" s="7"/>
      <c r="B70" s="7"/>
      <c r="C70" s="7"/>
      <c r="D70" s="7"/>
      <c r="E70" s="9">
        <f>IF(B70="","",IF(AND(OR(LEN(B70&amp;"")=13,LEN(B70&amp;"")=14),SUMPRODUCT(--ISNUMBER(FIND(MID(B70&amp;"",ROW($1:$14),1),"0123456789")),--(ROW($1:$14)&lt;=LEN(B70&amp;"")))=LEN(B70&amp;"")),IF(LEN(B70&amp;"")=13,"0"&amp;B70,B70&amp;""),"KIỂM TRA ĐỊNH DẠNG"))</f>
        <v/>
      </c>
      <c r="F70" s="9">
        <f>IF(C70="","",IF(AND(OR(LEN(C70&amp;"")=13,LEN(C70&amp;"")=14),SUMPRODUCT(--ISNUMBER(FIND(MID(C70&amp;"",ROW($1:$14),1),"0123456789")),--(ROW($1:$14)&lt;=LEN(C70&amp;"")))=LEN(C70&amp;"")),IF(LEN(C70&amp;"")=13,"0"&amp;C70,C70&amp;""),"KIỂM TRA ĐỊNH DẠNG"))</f>
        <v/>
      </c>
      <c r="G70" s="9">
        <f>IF(COUNTA(B70:D70)=0,"",IF(COUNTA(B70:D70)&lt;3,"THIẾU DỮ LIỆU",IF(OR(E70="KIỂM TRA ĐỊNH DẠNG",F70="KIỂM TRA ĐỊNH DẠNG",LEN(D70&amp;"")&lt;&gt;14),"KIỂM TRA ĐỊNH DẠNG",IF(AND(E70=F70,E70=D70&amp;""),"TRÙNG SỐ","LỆCH SỐ"))))</f>
        <v/>
      </c>
      <c r="H70" s="7"/>
      <c r="I70" s="7"/>
      <c r="J70" s="7"/>
      <c r="K70" s="9">
        <f>IF(COUNTA(H70:J70)=0,"",IF(COUNTA(H70:J70)&lt;3,"THIẾU DỮ LIỆU",IF(NOT(AND(AND(LEN(H70&amp;"")=10,SUMPRODUCT(--ISNUMBER(FIND(MID(H70&amp;"",ROW($1:$10),1),"0123456789")))=10),AND(LEN(I70&amp;"")=10,SUMPRODUCT(--ISNUMBER(FIND(MID(I70&amp;"",ROW($1:$10),1),"0123456789")))=10),AND(LEN(J70&amp;"")=10,SUMPRODUCT(--ISNUMBER(FIND(MID(J70&amp;"",ROW($1:$10),1),"0123456789")))=10))),"KIỂM TRA 10 CHỮ SỐ",IF(AND(H70&amp;""=I70&amp;"",H70&amp;""=J70&amp;""),"TRÙNG SỐ","LỆCH MÃ"))))</f>
        <v/>
      </c>
      <c r="L70" s="7"/>
      <c r="M70" s="7"/>
      <c r="N70" s="7"/>
      <c r="O70" s="7"/>
      <c r="P70" s="7"/>
      <c r="Q70" s="7"/>
      <c r="R70" s="7"/>
      <c r="S70" s="7"/>
      <c r="T70" s="7"/>
      <c r="U70" s="7"/>
      <c r="V70" s="7"/>
      <c r="W70" s="7"/>
      <c r="X70" s="7"/>
      <c r="Y70" s="7"/>
      <c r="Z70" s="7"/>
      <c r="AA70" s="7"/>
      <c r="AB70" s="9">
        <f>IF(A70="","",IF(SUMPRODUCT(--EXACT($A$6:$A$105,A70))&gt;1,"TRÙNG SKU: XEM LẠI",""))</f>
        <v/>
      </c>
      <c r="AC70" s="10"/>
      <c r="AD70" s="7"/>
      <c r="AE70" s="7"/>
    </row>
    <row r="71" spans="1:31" ht="32" customHeight="1">
      <c r="A71" s="7"/>
      <c r="B71" s="7"/>
      <c r="C71" s="7"/>
      <c r="D71" s="7"/>
      <c r="E71" s="9">
        <f>IF(B71="","",IF(AND(OR(LEN(B71&amp;"")=13,LEN(B71&amp;"")=14),SUMPRODUCT(--ISNUMBER(FIND(MID(B71&amp;"",ROW($1:$14),1),"0123456789")),--(ROW($1:$14)&lt;=LEN(B71&amp;"")))=LEN(B71&amp;"")),IF(LEN(B71&amp;"")=13,"0"&amp;B71,B71&amp;""),"KIỂM TRA ĐỊNH DẠNG"))</f>
        <v/>
      </c>
      <c r="F71" s="9">
        <f>IF(C71="","",IF(AND(OR(LEN(C71&amp;"")=13,LEN(C71&amp;"")=14),SUMPRODUCT(--ISNUMBER(FIND(MID(C71&amp;"",ROW($1:$14),1),"0123456789")),--(ROW($1:$14)&lt;=LEN(C71&amp;"")))=LEN(C71&amp;"")),IF(LEN(C71&amp;"")=13,"0"&amp;C71,C71&amp;""),"KIỂM TRA ĐỊNH DẠNG"))</f>
        <v/>
      </c>
      <c r="G71" s="9">
        <f>IF(COUNTA(B71:D71)=0,"",IF(COUNTA(B71:D71)&lt;3,"THIẾU DỮ LIỆU",IF(OR(E71="KIỂM TRA ĐỊNH DẠNG",F71="KIỂM TRA ĐỊNH DẠNG",LEN(D71&amp;"")&lt;&gt;14),"KIỂM TRA ĐỊNH DẠNG",IF(AND(E71=F71,E71=D71&amp;""),"TRÙNG SỐ","LỆCH SỐ"))))</f>
        <v/>
      </c>
      <c r="H71" s="7"/>
      <c r="I71" s="7"/>
      <c r="J71" s="7"/>
      <c r="K71" s="9">
        <f>IF(COUNTA(H71:J71)=0,"",IF(COUNTA(H71:J71)&lt;3,"THIẾU DỮ LIỆU",IF(NOT(AND(AND(LEN(H71&amp;"")=10,SUMPRODUCT(--ISNUMBER(FIND(MID(H71&amp;"",ROW($1:$10),1),"0123456789")))=10),AND(LEN(I71&amp;"")=10,SUMPRODUCT(--ISNUMBER(FIND(MID(I71&amp;"",ROW($1:$10),1),"0123456789")))=10),AND(LEN(J71&amp;"")=10,SUMPRODUCT(--ISNUMBER(FIND(MID(J71&amp;"",ROW($1:$10),1),"0123456789")))=10))),"KIỂM TRA 10 CHỮ SỐ",IF(AND(H71&amp;""=I71&amp;"",H71&amp;""=J71&amp;""),"TRÙNG SỐ","LỆCH MÃ"))))</f>
        <v/>
      </c>
      <c r="L71" s="7"/>
      <c r="M71" s="7"/>
      <c r="N71" s="7"/>
      <c r="O71" s="7"/>
      <c r="P71" s="7"/>
      <c r="Q71" s="7"/>
      <c r="R71" s="7"/>
      <c r="S71" s="7"/>
      <c r="T71" s="7"/>
      <c r="U71" s="7"/>
      <c r="V71" s="7"/>
      <c r="W71" s="7"/>
      <c r="X71" s="7"/>
      <c r="Y71" s="7"/>
      <c r="Z71" s="7"/>
      <c r="AA71" s="7"/>
      <c r="AB71" s="9">
        <f>IF(A71="","",IF(SUMPRODUCT(--EXACT($A$6:$A$105,A71))&gt;1,"TRÙNG SKU: XEM LẠI",""))</f>
        <v/>
      </c>
      <c r="AC71" s="10"/>
      <c r="AD71" s="7"/>
      <c r="AE71" s="7"/>
    </row>
    <row r="72" spans="1:31" ht="32" customHeight="1">
      <c r="A72" s="7"/>
      <c r="B72" s="7"/>
      <c r="C72" s="7"/>
      <c r="D72" s="7"/>
      <c r="E72" s="9">
        <f>IF(B72="","",IF(AND(OR(LEN(B72&amp;"")=13,LEN(B72&amp;"")=14),SUMPRODUCT(--ISNUMBER(FIND(MID(B72&amp;"",ROW($1:$14),1),"0123456789")),--(ROW($1:$14)&lt;=LEN(B72&amp;"")))=LEN(B72&amp;"")),IF(LEN(B72&amp;"")=13,"0"&amp;B72,B72&amp;""),"KIỂM TRA ĐỊNH DẠNG"))</f>
        <v/>
      </c>
      <c r="F72" s="9">
        <f>IF(C72="","",IF(AND(OR(LEN(C72&amp;"")=13,LEN(C72&amp;"")=14),SUMPRODUCT(--ISNUMBER(FIND(MID(C72&amp;"",ROW($1:$14),1),"0123456789")),--(ROW($1:$14)&lt;=LEN(C72&amp;"")))=LEN(C72&amp;"")),IF(LEN(C72&amp;"")=13,"0"&amp;C72,C72&amp;""),"KIỂM TRA ĐỊNH DẠNG"))</f>
        <v/>
      </c>
      <c r="G72" s="9">
        <f>IF(COUNTA(B72:D72)=0,"",IF(COUNTA(B72:D72)&lt;3,"THIẾU DỮ LIỆU",IF(OR(E72="KIỂM TRA ĐỊNH DẠNG",F72="KIỂM TRA ĐỊNH DẠNG",LEN(D72&amp;"")&lt;&gt;14),"KIỂM TRA ĐỊNH DẠNG",IF(AND(E72=F72,E72=D72&amp;""),"TRÙNG SỐ","LỆCH SỐ"))))</f>
        <v/>
      </c>
      <c r="H72" s="7"/>
      <c r="I72" s="7"/>
      <c r="J72" s="7"/>
      <c r="K72" s="9">
        <f>IF(COUNTA(H72:J72)=0,"",IF(COUNTA(H72:J72)&lt;3,"THIẾU DỮ LIỆU",IF(NOT(AND(AND(LEN(H72&amp;"")=10,SUMPRODUCT(--ISNUMBER(FIND(MID(H72&amp;"",ROW($1:$10),1),"0123456789")))=10),AND(LEN(I72&amp;"")=10,SUMPRODUCT(--ISNUMBER(FIND(MID(I72&amp;"",ROW($1:$10),1),"0123456789")))=10),AND(LEN(J72&amp;"")=10,SUMPRODUCT(--ISNUMBER(FIND(MID(J72&amp;"",ROW($1:$10),1),"0123456789")))=10))),"KIỂM TRA 10 CHỮ SỐ",IF(AND(H72&amp;""=I72&amp;"",H72&amp;""=J72&amp;""),"TRÙNG SỐ","LỆCH MÃ"))))</f>
        <v/>
      </c>
      <c r="L72" s="7"/>
      <c r="M72" s="7"/>
      <c r="N72" s="7"/>
      <c r="O72" s="7"/>
      <c r="P72" s="7"/>
      <c r="Q72" s="7"/>
      <c r="R72" s="7"/>
      <c r="S72" s="7"/>
      <c r="T72" s="7"/>
      <c r="U72" s="7"/>
      <c r="V72" s="7"/>
      <c r="W72" s="7"/>
      <c r="X72" s="7"/>
      <c r="Y72" s="7"/>
      <c r="Z72" s="7"/>
      <c r="AA72" s="7"/>
      <c r="AB72" s="9">
        <f>IF(A72="","",IF(SUMPRODUCT(--EXACT($A$6:$A$105,A72))&gt;1,"TRÙNG SKU: XEM LẠI",""))</f>
        <v/>
      </c>
      <c r="AC72" s="10"/>
      <c r="AD72" s="7"/>
      <c r="AE72" s="7"/>
    </row>
    <row r="73" spans="1:31" ht="32" customHeight="1">
      <c r="A73" s="7"/>
      <c r="B73" s="7"/>
      <c r="C73" s="7"/>
      <c r="D73" s="7"/>
      <c r="E73" s="9">
        <f>IF(B73="","",IF(AND(OR(LEN(B73&amp;"")=13,LEN(B73&amp;"")=14),SUMPRODUCT(--ISNUMBER(FIND(MID(B73&amp;"",ROW($1:$14),1),"0123456789")),--(ROW($1:$14)&lt;=LEN(B73&amp;"")))=LEN(B73&amp;"")),IF(LEN(B73&amp;"")=13,"0"&amp;B73,B73&amp;""),"KIỂM TRA ĐỊNH DẠNG"))</f>
        <v/>
      </c>
      <c r="F73" s="9">
        <f>IF(C73="","",IF(AND(OR(LEN(C73&amp;"")=13,LEN(C73&amp;"")=14),SUMPRODUCT(--ISNUMBER(FIND(MID(C73&amp;"",ROW($1:$14),1),"0123456789")),--(ROW($1:$14)&lt;=LEN(C73&amp;"")))=LEN(C73&amp;"")),IF(LEN(C73&amp;"")=13,"0"&amp;C73,C73&amp;""),"KIỂM TRA ĐỊNH DẠNG"))</f>
        <v/>
      </c>
      <c r="G73" s="9">
        <f>IF(COUNTA(B73:D73)=0,"",IF(COUNTA(B73:D73)&lt;3,"THIẾU DỮ LIỆU",IF(OR(E73="KIỂM TRA ĐỊNH DẠNG",F73="KIỂM TRA ĐỊNH DẠNG",LEN(D73&amp;"")&lt;&gt;14),"KIỂM TRA ĐỊNH DẠNG",IF(AND(E73=F73,E73=D73&amp;""),"TRÙNG SỐ","LỆCH SỐ"))))</f>
        <v/>
      </c>
      <c r="H73" s="7"/>
      <c r="I73" s="7"/>
      <c r="J73" s="7"/>
      <c r="K73" s="9">
        <f>IF(COUNTA(H73:J73)=0,"",IF(COUNTA(H73:J73)&lt;3,"THIẾU DỮ LIỆU",IF(NOT(AND(AND(LEN(H73&amp;"")=10,SUMPRODUCT(--ISNUMBER(FIND(MID(H73&amp;"",ROW($1:$10),1),"0123456789")))=10),AND(LEN(I73&amp;"")=10,SUMPRODUCT(--ISNUMBER(FIND(MID(I73&amp;"",ROW($1:$10),1),"0123456789")))=10),AND(LEN(J73&amp;"")=10,SUMPRODUCT(--ISNUMBER(FIND(MID(J73&amp;"",ROW($1:$10),1),"0123456789")))=10))),"KIỂM TRA 10 CHỮ SỐ",IF(AND(H73&amp;""=I73&amp;"",H73&amp;""=J73&amp;""),"TRÙNG SỐ","LỆCH MÃ"))))</f>
        <v/>
      </c>
      <c r="L73" s="7"/>
      <c r="M73" s="7"/>
      <c r="N73" s="7"/>
      <c r="O73" s="7"/>
      <c r="P73" s="7"/>
      <c r="Q73" s="7"/>
      <c r="R73" s="7"/>
      <c r="S73" s="7"/>
      <c r="T73" s="7"/>
      <c r="U73" s="7"/>
      <c r="V73" s="7"/>
      <c r="W73" s="7"/>
      <c r="X73" s="7"/>
      <c r="Y73" s="7"/>
      <c r="Z73" s="7"/>
      <c r="AA73" s="7"/>
      <c r="AB73" s="9">
        <f>IF(A73="","",IF(SUMPRODUCT(--EXACT($A$6:$A$105,A73))&gt;1,"TRÙNG SKU: XEM LẠI",""))</f>
        <v/>
      </c>
      <c r="AC73" s="10"/>
      <c r="AD73" s="7"/>
      <c r="AE73" s="7"/>
    </row>
    <row r="74" spans="1:31" ht="32" customHeight="1">
      <c r="A74" s="7"/>
      <c r="B74" s="7"/>
      <c r="C74" s="7"/>
      <c r="D74" s="7"/>
      <c r="E74" s="9">
        <f>IF(B74="","",IF(AND(OR(LEN(B74&amp;"")=13,LEN(B74&amp;"")=14),SUMPRODUCT(--ISNUMBER(FIND(MID(B74&amp;"",ROW($1:$14),1),"0123456789")),--(ROW($1:$14)&lt;=LEN(B74&amp;"")))=LEN(B74&amp;"")),IF(LEN(B74&amp;"")=13,"0"&amp;B74,B74&amp;""),"KIỂM TRA ĐỊNH DẠNG"))</f>
        <v/>
      </c>
      <c r="F74" s="9">
        <f>IF(C74="","",IF(AND(OR(LEN(C74&amp;"")=13,LEN(C74&amp;"")=14),SUMPRODUCT(--ISNUMBER(FIND(MID(C74&amp;"",ROW($1:$14),1),"0123456789")),--(ROW($1:$14)&lt;=LEN(C74&amp;"")))=LEN(C74&amp;"")),IF(LEN(C74&amp;"")=13,"0"&amp;C74,C74&amp;""),"KIỂM TRA ĐỊNH DẠNG"))</f>
        <v/>
      </c>
      <c r="G74" s="9">
        <f>IF(COUNTA(B74:D74)=0,"",IF(COUNTA(B74:D74)&lt;3,"THIẾU DỮ LIỆU",IF(OR(E74="KIỂM TRA ĐỊNH DẠNG",F74="KIỂM TRA ĐỊNH DẠNG",LEN(D74&amp;"")&lt;&gt;14),"KIỂM TRA ĐỊNH DẠNG",IF(AND(E74=F74,E74=D74&amp;""),"TRÙNG SỐ","LỆCH SỐ"))))</f>
        <v/>
      </c>
      <c r="H74" s="7"/>
      <c r="I74" s="7"/>
      <c r="J74" s="7"/>
      <c r="K74" s="9">
        <f>IF(COUNTA(H74:J74)=0,"",IF(COUNTA(H74:J74)&lt;3,"THIẾU DỮ LIỆU",IF(NOT(AND(AND(LEN(H74&amp;"")=10,SUMPRODUCT(--ISNUMBER(FIND(MID(H74&amp;"",ROW($1:$10),1),"0123456789")))=10),AND(LEN(I74&amp;"")=10,SUMPRODUCT(--ISNUMBER(FIND(MID(I74&amp;"",ROW($1:$10),1),"0123456789")))=10),AND(LEN(J74&amp;"")=10,SUMPRODUCT(--ISNUMBER(FIND(MID(J74&amp;"",ROW($1:$10),1),"0123456789")))=10))),"KIỂM TRA 10 CHỮ SỐ",IF(AND(H74&amp;""=I74&amp;"",H74&amp;""=J74&amp;""),"TRÙNG SỐ","LỆCH MÃ"))))</f>
        <v/>
      </c>
      <c r="L74" s="7"/>
      <c r="M74" s="7"/>
      <c r="N74" s="7"/>
      <c r="O74" s="7"/>
      <c r="P74" s="7"/>
      <c r="Q74" s="7"/>
      <c r="R74" s="7"/>
      <c r="S74" s="7"/>
      <c r="T74" s="7"/>
      <c r="U74" s="7"/>
      <c r="V74" s="7"/>
      <c r="W74" s="7"/>
      <c r="X74" s="7"/>
      <c r="Y74" s="7"/>
      <c r="Z74" s="7"/>
      <c r="AA74" s="7"/>
      <c r="AB74" s="9">
        <f>IF(A74="","",IF(SUMPRODUCT(--EXACT($A$6:$A$105,A74))&gt;1,"TRÙNG SKU: XEM LẠI",""))</f>
        <v/>
      </c>
      <c r="AC74" s="10"/>
      <c r="AD74" s="7"/>
      <c r="AE74" s="7"/>
    </row>
    <row r="75" spans="1:31" ht="32" customHeight="1">
      <c r="A75" s="7"/>
      <c r="B75" s="7"/>
      <c r="C75" s="7"/>
      <c r="D75" s="7"/>
      <c r="E75" s="9">
        <f>IF(B75="","",IF(AND(OR(LEN(B75&amp;"")=13,LEN(B75&amp;"")=14),SUMPRODUCT(--ISNUMBER(FIND(MID(B75&amp;"",ROW($1:$14),1),"0123456789")),--(ROW($1:$14)&lt;=LEN(B75&amp;"")))=LEN(B75&amp;"")),IF(LEN(B75&amp;"")=13,"0"&amp;B75,B75&amp;""),"KIỂM TRA ĐỊNH DẠNG"))</f>
        <v/>
      </c>
      <c r="F75" s="9">
        <f>IF(C75="","",IF(AND(OR(LEN(C75&amp;"")=13,LEN(C75&amp;"")=14),SUMPRODUCT(--ISNUMBER(FIND(MID(C75&amp;"",ROW($1:$14),1),"0123456789")),--(ROW($1:$14)&lt;=LEN(C75&amp;"")))=LEN(C75&amp;"")),IF(LEN(C75&amp;"")=13,"0"&amp;C75,C75&amp;""),"KIỂM TRA ĐỊNH DẠNG"))</f>
        <v/>
      </c>
      <c r="G75" s="9">
        <f>IF(COUNTA(B75:D75)=0,"",IF(COUNTA(B75:D75)&lt;3,"THIẾU DỮ LIỆU",IF(OR(E75="KIỂM TRA ĐỊNH DẠNG",F75="KIỂM TRA ĐỊNH DẠNG",LEN(D75&amp;"")&lt;&gt;14),"KIỂM TRA ĐỊNH DẠNG",IF(AND(E75=F75,E75=D75&amp;""),"TRÙNG SỐ","LỆCH SỐ"))))</f>
        <v/>
      </c>
      <c r="H75" s="7"/>
      <c r="I75" s="7"/>
      <c r="J75" s="7"/>
      <c r="K75" s="9">
        <f>IF(COUNTA(H75:J75)=0,"",IF(COUNTA(H75:J75)&lt;3,"THIẾU DỮ LIỆU",IF(NOT(AND(AND(LEN(H75&amp;"")=10,SUMPRODUCT(--ISNUMBER(FIND(MID(H75&amp;"",ROW($1:$10),1),"0123456789")))=10),AND(LEN(I75&amp;"")=10,SUMPRODUCT(--ISNUMBER(FIND(MID(I75&amp;"",ROW($1:$10),1),"0123456789")))=10),AND(LEN(J75&amp;"")=10,SUMPRODUCT(--ISNUMBER(FIND(MID(J75&amp;"",ROW($1:$10),1),"0123456789")))=10))),"KIỂM TRA 10 CHỮ SỐ",IF(AND(H75&amp;""=I75&amp;"",H75&amp;""=J75&amp;""),"TRÙNG SỐ","LỆCH MÃ"))))</f>
        <v/>
      </c>
      <c r="L75" s="7"/>
      <c r="M75" s="7"/>
      <c r="N75" s="7"/>
      <c r="O75" s="7"/>
      <c r="P75" s="7"/>
      <c r="Q75" s="7"/>
      <c r="R75" s="7"/>
      <c r="S75" s="7"/>
      <c r="T75" s="7"/>
      <c r="U75" s="7"/>
      <c r="V75" s="7"/>
      <c r="W75" s="7"/>
      <c r="X75" s="7"/>
      <c r="Y75" s="7"/>
      <c r="Z75" s="7"/>
      <c r="AA75" s="7"/>
      <c r="AB75" s="9">
        <f>IF(A75="","",IF(SUMPRODUCT(--EXACT($A$6:$A$105,A75))&gt;1,"TRÙNG SKU: XEM LẠI",""))</f>
        <v/>
      </c>
      <c r="AC75" s="10"/>
      <c r="AD75" s="7"/>
      <c r="AE75" s="7"/>
    </row>
    <row r="76" spans="1:31" ht="32" customHeight="1">
      <c r="A76" s="7"/>
      <c r="B76" s="7"/>
      <c r="C76" s="7"/>
      <c r="D76" s="7"/>
      <c r="E76" s="9">
        <f>IF(B76="","",IF(AND(OR(LEN(B76&amp;"")=13,LEN(B76&amp;"")=14),SUMPRODUCT(--ISNUMBER(FIND(MID(B76&amp;"",ROW($1:$14),1),"0123456789")),--(ROW($1:$14)&lt;=LEN(B76&amp;"")))=LEN(B76&amp;"")),IF(LEN(B76&amp;"")=13,"0"&amp;B76,B76&amp;""),"KIỂM TRA ĐỊNH DẠNG"))</f>
        <v/>
      </c>
      <c r="F76" s="9">
        <f>IF(C76="","",IF(AND(OR(LEN(C76&amp;"")=13,LEN(C76&amp;"")=14),SUMPRODUCT(--ISNUMBER(FIND(MID(C76&amp;"",ROW($1:$14),1),"0123456789")),--(ROW($1:$14)&lt;=LEN(C76&amp;"")))=LEN(C76&amp;"")),IF(LEN(C76&amp;"")=13,"0"&amp;C76,C76&amp;""),"KIỂM TRA ĐỊNH DẠNG"))</f>
        <v/>
      </c>
      <c r="G76" s="9">
        <f>IF(COUNTA(B76:D76)=0,"",IF(COUNTA(B76:D76)&lt;3,"THIẾU DỮ LIỆU",IF(OR(E76="KIỂM TRA ĐỊNH DẠNG",F76="KIỂM TRA ĐỊNH DẠNG",LEN(D76&amp;"")&lt;&gt;14),"KIỂM TRA ĐỊNH DẠNG",IF(AND(E76=F76,E76=D76&amp;""),"TRÙNG SỐ","LỆCH SỐ"))))</f>
        <v/>
      </c>
      <c r="H76" s="7"/>
      <c r="I76" s="7"/>
      <c r="J76" s="7"/>
      <c r="K76" s="9">
        <f>IF(COUNTA(H76:J76)=0,"",IF(COUNTA(H76:J76)&lt;3,"THIẾU DỮ LIỆU",IF(NOT(AND(AND(LEN(H76&amp;"")=10,SUMPRODUCT(--ISNUMBER(FIND(MID(H76&amp;"",ROW($1:$10),1),"0123456789")))=10),AND(LEN(I76&amp;"")=10,SUMPRODUCT(--ISNUMBER(FIND(MID(I76&amp;"",ROW($1:$10),1),"0123456789")))=10),AND(LEN(J76&amp;"")=10,SUMPRODUCT(--ISNUMBER(FIND(MID(J76&amp;"",ROW($1:$10),1),"0123456789")))=10))),"KIỂM TRA 10 CHỮ SỐ",IF(AND(H76&amp;""=I76&amp;"",H76&amp;""=J76&amp;""),"TRÙNG SỐ","LỆCH MÃ"))))</f>
        <v/>
      </c>
      <c r="L76" s="7"/>
      <c r="M76" s="7"/>
      <c r="N76" s="7"/>
      <c r="O76" s="7"/>
      <c r="P76" s="7"/>
      <c r="Q76" s="7"/>
      <c r="R76" s="7"/>
      <c r="S76" s="7"/>
      <c r="T76" s="7"/>
      <c r="U76" s="7"/>
      <c r="V76" s="7"/>
      <c r="W76" s="7"/>
      <c r="X76" s="7"/>
      <c r="Y76" s="7"/>
      <c r="Z76" s="7"/>
      <c r="AA76" s="7"/>
      <c r="AB76" s="9">
        <f>IF(A76="","",IF(SUMPRODUCT(--EXACT($A$6:$A$105,A76))&gt;1,"TRÙNG SKU: XEM LẠI",""))</f>
        <v/>
      </c>
      <c r="AC76" s="10"/>
      <c r="AD76" s="7"/>
      <c r="AE76" s="7"/>
    </row>
    <row r="77" spans="1:31" ht="32" customHeight="1">
      <c r="A77" s="7"/>
      <c r="B77" s="7"/>
      <c r="C77" s="7"/>
      <c r="D77" s="7"/>
      <c r="E77" s="9">
        <f>IF(B77="","",IF(AND(OR(LEN(B77&amp;"")=13,LEN(B77&amp;"")=14),SUMPRODUCT(--ISNUMBER(FIND(MID(B77&amp;"",ROW($1:$14),1),"0123456789")),--(ROW($1:$14)&lt;=LEN(B77&amp;"")))=LEN(B77&amp;"")),IF(LEN(B77&amp;"")=13,"0"&amp;B77,B77&amp;""),"KIỂM TRA ĐỊNH DẠNG"))</f>
        <v/>
      </c>
      <c r="F77" s="9">
        <f>IF(C77="","",IF(AND(OR(LEN(C77&amp;"")=13,LEN(C77&amp;"")=14),SUMPRODUCT(--ISNUMBER(FIND(MID(C77&amp;"",ROW($1:$14),1),"0123456789")),--(ROW($1:$14)&lt;=LEN(C77&amp;"")))=LEN(C77&amp;"")),IF(LEN(C77&amp;"")=13,"0"&amp;C77,C77&amp;""),"KIỂM TRA ĐỊNH DẠNG"))</f>
        <v/>
      </c>
      <c r="G77" s="9">
        <f>IF(COUNTA(B77:D77)=0,"",IF(COUNTA(B77:D77)&lt;3,"THIẾU DỮ LIỆU",IF(OR(E77="KIỂM TRA ĐỊNH DẠNG",F77="KIỂM TRA ĐỊNH DẠNG",LEN(D77&amp;"")&lt;&gt;14),"KIỂM TRA ĐỊNH DẠNG",IF(AND(E77=F77,E77=D77&amp;""),"TRÙNG SỐ","LỆCH SỐ"))))</f>
        <v/>
      </c>
      <c r="H77" s="7"/>
      <c r="I77" s="7"/>
      <c r="J77" s="7"/>
      <c r="K77" s="9">
        <f>IF(COUNTA(H77:J77)=0,"",IF(COUNTA(H77:J77)&lt;3,"THIẾU DỮ LIỆU",IF(NOT(AND(AND(LEN(H77&amp;"")=10,SUMPRODUCT(--ISNUMBER(FIND(MID(H77&amp;"",ROW($1:$10),1),"0123456789")))=10),AND(LEN(I77&amp;"")=10,SUMPRODUCT(--ISNUMBER(FIND(MID(I77&amp;"",ROW($1:$10),1),"0123456789")))=10),AND(LEN(J77&amp;"")=10,SUMPRODUCT(--ISNUMBER(FIND(MID(J77&amp;"",ROW($1:$10),1),"0123456789")))=10))),"KIỂM TRA 10 CHỮ SỐ",IF(AND(H77&amp;""=I77&amp;"",H77&amp;""=J77&amp;""),"TRÙNG SỐ","LỆCH MÃ"))))</f>
        <v/>
      </c>
      <c r="L77" s="7"/>
      <c r="M77" s="7"/>
      <c r="N77" s="7"/>
      <c r="O77" s="7"/>
      <c r="P77" s="7"/>
      <c r="Q77" s="7"/>
      <c r="R77" s="7"/>
      <c r="S77" s="7"/>
      <c r="T77" s="7"/>
      <c r="U77" s="7"/>
      <c r="V77" s="7"/>
      <c r="W77" s="7"/>
      <c r="X77" s="7"/>
      <c r="Y77" s="7"/>
      <c r="Z77" s="7"/>
      <c r="AA77" s="7"/>
      <c r="AB77" s="9">
        <f>IF(A77="","",IF(SUMPRODUCT(--EXACT($A$6:$A$105,A77))&gt;1,"TRÙNG SKU: XEM LẠI",""))</f>
        <v/>
      </c>
      <c r="AC77" s="10"/>
      <c r="AD77" s="7"/>
      <c r="AE77" s="7"/>
    </row>
    <row r="78" spans="1:31" ht="32" customHeight="1">
      <c r="A78" s="7"/>
      <c r="B78" s="7"/>
      <c r="C78" s="7"/>
      <c r="D78" s="7"/>
      <c r="E78" s="9">
        <f>IF(B78="","",IF(AND(OR(LEN(B78&amp;"")=13,LEN(B78&amp;"")=14),SUMPRODUCT(--ISNUMBER(FIND(MID(B78&amp;"",ROW($1:$14),1),"0123456789")),--(ROW($1:$14)&lt;=LEN(B78&amp;"")))=LEN(B78&amp;"")),IF(LEN(B78&amp;"")=13,"0"&amp;B78,B78&amp;""),"KIỂM TRA ĐỊNH DẠNG"))</f>
        <v/>
      </c>
      <c r="F78" s="9">
        <f>IF(C78="","",IF(AND(OR(LEN(C78&amp;"")=13,LEN(C78&amp;"")=14),SUMPRODUCT(--ISNUMBER(FIND(MID(C78&amp;"",ROW($1:$14),1),"0123456789")),--(ROW($1:$14)&lt;=LEN(C78&amp;"")))=LEN(C78&amp;"")),IF(LEN(C78&amp;"")=13,"0"&amp;C78,C78&amp;""),"KIỂM TRA ĐỊNH DẠNG"))</f>
        <v/>
      </c>
      <c r="G78" s="9">
        <f>IF(COUNTA(B78:D78)=0,"",IF(COUNTA(B78:D78)&lt;3,"THIẾU DỮ LIỆU",IF(OR(E78="KIỂM TRA ĐỊNH DẠNG",F78="KIỂM TRA ĐỊNH DẠNG",LEN(D78&amp;"")&lt;&gt;14),"KIỂM TRA ĐỊNH DẠNG",IF(AND(E78=F78,E78=D78&amp;""),"TRÙNG SỐ","LỆCH SỐ"))))</f>
        <v/>
      </c>
      <c r="H78" s="7"/>
      <c r="I78" s="7"/>
      <c r="J78" s="7"/>
      <c r="K78" s="9">
        <f>IF(COUNTA(H78:J78)=0,"",IF(COUNTA(H78:J78)&lt;3,"THIẾU DỮ LIỆU",IF(NOT(AND(AND(LEN(H78&amp;"")=10,SUMPRODUCT(--ISNUMBER(FIND(MID(H78&amp;"",ROW($1:$10),1),"0123456789")))=10),AND(LEN(I78&amp;"")=10,SUMPRODUCT(--ISNUMBER(FIND(MID(I78&amp;"",ROW($1:$10),1),"0123456789")))=10),AND(LEN(J78&amp;"")=10,SUMPRODUCT(--ISNUMBER(FIND(MID(J78&amp;"",ROW($1:$10),1),"0123456789")))=10))),"KIỂM TRA 10 CHỮ SỐ",IF(AND(H78&amp;""=I78&amp;"",H78&amp;""=J78&amp;""),"TRÙNG SỐ","LỆCH MÃ"))))</f>
        <v/>
      </c>
      <c r="L78" s="7"/>
      <c r="M78" s="7"/>
      <c r="N78" s="7"/>
      <c r="O78" s="7"/>
      <c r="P78" s="7"/>
      <c r="Q78" s="7"/>
      <c r="R78" s="7"/>
      <c r="S78" s="7"/>
      <c r="T78" s="7"/>
      <c r="U78" s="7"/>
      <c r="V78" s="7"/>
      <c r="W78" s="7"/>
      <c r="X78" s="7"/>
      <c r="Y78" s="7"/>
      <c r="Z78" s="7"/>
      <c r="AA78" s="7"/>
      <c r="AB78" s="9">
        <f>IF(A78="","",IF(SUMPRODUCT(--EXACT($A$6:$A$105,A78))&gt;1,"TRÙNG SKU: XEM LẠI",""))</f>
        <v/>
      </c>
      <c r="AC78" s="10"/>
      <c r="AD78" s="7"/>
      <c r="AE78" s="7"/>
    </row>
    <row r="79" spans="1:31" ht="32" customHeight="1">
      <c r="A79" s="7"/>
      <c r="B79" s="7"/>
      <c r="C79" s="7"/>
      <c r="D79" s="7"/>
      <c r="E79" s="9">
        <f>IF(B79="","",IF(AND(OR(LEN(B79&amp;"")=13,LEN(B79&amp;"")=14),SUMPRODUCT(--ISNUMBER(FIND(MID(B79&amp;"",ROW($1:$14),1),"0123456789")),--(ROW($1:$14)&lt;=LEN(B79&amp;"")))=LEN(B79&amp;"")),IF(LEN(B79&amp;"")=13,"0"&amp;B79,B79&amp;""),"KIỂM TRA ĐỊNH DẠNG"))</f>
        <v/>
      </c>
      <c r="F79" s="9">
        <f>IF(C79="","",IF(AND(OR(LEN(C79&amp;"")=13,LEN(C79&amp;"")=14),SUMPRODUCT(--ISNUMBER(FIND(MID(C79&amp;"",ROW($1:$14),1),"0123456789")),--(ROW($1:$14)&lt;=LEN(C79&amp;"")))=LEN(C79&amp;"")),IF(LEN(C79&amp;"")=13,"0"&amp;C79,C79&amp;""),"KIỂM TRA ĐỊNH DẠNG"))</f>
        <v/>
      </c>
      <c r="G79" s="9">
        <f>IF(COUNTA(B79:D79)=0,"",IF(COUNTA(B79:D79)&lt;3,"THIẾU DỮ LIỆU",IF(OR(E79="KIỂM TRA ĐỊNH DẠNG",F79="KIỂM TRA ĐỊNH DẠNG",LEN(D79&amp;"")&lt;&gt;14),"KIỂM TRA ĐỊNH DẠNG",IF(AND(E79=F79,E79=D79&amp;""),"TRÙNG SỐ","LỆCH SỐ"))))</f>
        <v/>
      </c>
      <c r="H79" s="7"/>
      <c r="I79" s="7"/>
      <c r="J79" s="7"/>
      <c r="K79" s="9">
        <f>IF(COUNTA(H79:J79)=0,"",IF(COUNTA(H79:J79)&lt;3,"THIẾU DỮ LIỆU",IF(NOT(AND(AND(LEN(H79&amp;"")=10,SUMPRODUCT(--ISNUMBER(FIND(MID(H79&amp;"",ROW($1:$10),1),"0123456789")))=10),AND(LEN(I79&amp;"")=10,SUMPRODUCT(--ISNUMBER(FIND(MID(I79&amp;"",ROW($1:$10),1),"0123456789")))=10),AND(LEN(J79&amp;"")=10,SUMPRODUCT(--ISNUMBER(FIND(MID(J79&amp;"",ROW($1:$10),1),"0123456789")))=10))),"KIỂM TRA 10 CHỮ SỐ",IF(AND(H79&amp;""=I79&amp;"",H79&amp;""=J79&amp;""),"TRÙNG SỐ","LỆCH MÃ"))))</f>
        <v/>
      </c>
      <c r="L79" s="7"/>
      <c r="M79" s="7"/>
      <c r="N79" s="7"/>
      <c r="O79" s="7"/>
      <c r="P79" s="7"/>
      <c r="Q79" s="7"/>
      <c r="R79" s="7"/>
      <c r="S79" s="7"/>
      <c r="T79" s="7"/>
      <c r="U79" s="7"/>
      <c r="V79" s="7"/>
      <c r="W79" s="7"/>
      <c r="X79" s="7"/>
      <c r="Y79" s="7"/>
      <c r="Z79" s="7"/>
      <c r="AA79" s="7"/>
      <c r="AB79" s="9">
        <f>IF(A79="","",IF(SUMPRODUCT(--EXACT($A$6:$A$105,A79))&gt;1,"TRÙNG SKU: XEM LẠI",""))</f>
        <v/>
      </c>
      <c r="AC79" s="10"/>
      <c r="AD79" s="7"/>
      <c r="AE79" s="7"/>
    </row>
    <row r="80" spans="1:31" ht="32" customHeight="1">
      <c r="A80" s="7"/>
      <c r="B80" s="7"/>
      <c r="C80" s="7"/>
      <c r="D80" s="7"/>
      <c r="E80" s="9">
        <f>IF(B80="","",IF(AND(OR(LEN(B80&amp;"")=13,LEN(B80&amp;"")=14),SUMPRODUCT(--ISNUMBER(FIND(MID(B80&amp;"",ROW($1:$14),1),"0123456789")),--(ROW($1:$14)&lt;=LEN(B80&amp;"")))=LEN(B80&amp;"")),IF(LEN(B80&amp;"")=13,"0"&amp;B80,B80&amp;""),"KIỂM TRA ĐỊNH DẠNG"))</f>
        <v/>
      </c>
      <c r="F80" s="9">
        <f>IF(C80="","",IF(AND(OR(LEN(C80&amp;"")=13,LEN(C80&amp;"")=14),SUMPRODUCT(--ISNUMBER(FIND(MID(C80&amp;"",ROW($1:$14),1),"0123456789")),--(ROW($1:$14)&lt;=LEN(C80&amp;"")))=LEN(C80&amp;"")),IF(LEN(C80&amp;"")=13,"0"&amp;C80,C80&amp;""),"KIỂM TRA ĐỊNH DẠNG"))</f>
        <v/>
      </c>
      <c r="G80" s="9">
        <f>IF(COUNTA(B80:D80)=0,"",IF(COUNTA(B80:D80)&lt;3,"THIẾU DỮ LIỆU",IF(OR(E80="KIỂM TRA ĐỊNH DẠNG",F80="KIỂM TRA ĐỊNH DẠNG",LEN(D80&amp;"")&lt;&gt;14),"KIỂM TRA ĐỊNH DẠNG",IF(AND(E80=F80,E80=D80&amp;""),"TRÙNG SỐ","LỆCH SỐ"))))</f>
        <v/>
      </c>
      <c r="H80" s="7"/>
      <c r="I80" s="7"/>
      <c r="J80" s="7"/>
      <c r="K80" s="9">
        <f>IF(COUNTA(H80:J80)=0,"",IF(COUNTA(H80:J80)&lt;3,"THIẾU DỮ LIỆU",IF(NOT(AND(AND(LEN(H80&amp;"")=10,SUMPRODUCT(--ISNUMBER(FIND(MID(H80&amp;"",ROW($1:$10),1),"0123456789")))=10),AND(LEN(I80&amp;"")=10,SUMPRODUCT(--ISNUMBER(FIND(MID(I80&amp;"",ROW($1:$10),1),"0123456789")))=10),AND(LEN(J80&amp;"")=10,SUMPRODUCT(--ISNUMBER(FIND(MID(J80&amp;"",ROW($1:$10),1),"0123456789")))=10))),"KIỂM TRA 10 CHỮ SỐ",IF(AND(H80&amp;""=I80&amp;"",H80&amp;""=J80&amp;""),"TRÙNG SỐ","LỆCH MÃ"))))</f>
        <v/>
      </c>
      <c r="L80" s="7"/>
      <c r="M80" s="7"/>
      <c r="N80" s="7"/>
      <c r="O80" s="7"/>
      <c r="P80" s="7"/>
      <c r="Q80" s="7"/>
      <c r="R80" s="7"/>
      <c r="S80" s="7"/>
      <c r="T80" s="7"/>
      <c r="U80" s="7"/>
      <c r="V80" s="7"/>
      <c r="W80" s="7"/>
      <c r="X80" s="7"/>
      <c r="Y80" s="7"/>
      <c r="Z80" s="7"/>
      <c r="AA80" s="7"/>
      <c r="AB80" s="9">
        <f>IF(A80="","",IF(SUMPRODUCT(--EXACT($A$6:$A$105,A80))&gt;1,"TRÙNG SKU: XEM LẠI",""))</f>
        <v/>
      </c>
      <c r="AC80" s="10"/>
      <c r="AD80" s="7"/>
      <c r="AE80" s="7"/>
    </row>
    <row r="81" spans="1:31" ht="32" customHeight="1">
      <c r="A81" s="7"/>
      <c r="B81" s="7"/>
      <c r="C81" s="7"/>
      <c r="D81" s="7"/>
      <c r="E81" s="9">
        <f>IF(B81="","",IF(AND(OR(LEN(B81&amp;"")=13,LEN(B81&amp;"")=14),SUMPRODUCT(--ISNUMBER(FIND(MID(B81&amp;"",ROW($1:$14),1),"0123456789")),--(ROW($1:$14)&lt;=LEN(B81&amp;"")))=LEN(B81&amp;"")),IF(LEN(B81&amp;"")=13,"0"&amp;B81,B81&amp;""),"KIỂM TRA ĐỊNH DẠNG"))</f>
        <v/>
      </c>
      <c r="F81" s="9">
        <f>IF(C81="","",IF(AND(OR(LEN(C81&amp;"")=13,LEN(C81&amp;"")=14),SUMPRODUCT(--ISNUMBER(FIND(MID(C81&amp;"",ROW($1:$14),1),"0123456789")),--(ROW($1:$14)&lt;=LEN(C81&amp;"")))=LEN(C81&amp;"")),IF(LEN(C81&amp;"")=13,"0"&amp;C81,C81&amp;""),"KIỂM TRA ĐỊNH DẠNG"))</f>
        <v/>
      </c>
      <c r="G81" s="9">
        <f>IF(COUNTA(B81:D81)=0,"",IF(COUNTA(B81:D81)&lt;3,"THIẾU DỮ LIỆU",IF(OR(E81="KIỂM TRA ĐỊNH DẠNG",F81="KIỂM TRA ĐỊNH DẠNG",LEN(D81&amp;"")&lt;&gt;14),"KIỂM TRA ĐỊNH DẠNG",IF(AND(E81=F81,E81=D81&amp;""),"TRÙNG SỐ","LỆCH SỐ"))))</f>
        <v/>
      </c>
      <c r="H81" s="7"/>
      <c r="I81" s="7"/>
      <c r="J81" s="7"/>
      <c r="K81" s="9">
        <f>IF(COUNTA(H81:J81)=0,"",IF(COUNTA(H81:J81)&lt;3,"THIẾU DỮ LIỆU",IF(NOT(AND(AND(LEN(H81&amp;"")=10,SUMPRODUCT(--ISNUMBER(FIND(MID(H81&amp;"",ROW($1:$10),1),"0123456789")))=10),AND(LEN(I81&amp;"")=10,SUMPRODUCT(--ISNUMBER(FIND(MID(I81&amp;"",ROW($1:$10),1),"0123456789")))=10),AND(LEN(J81&amp;"")=10,SUMPRODUCT(--ISNUMBER(FIND(MID(J81&amp;"",ROW($1:$10),1),"0123456789")))=10))),"KIỂM TRA 10 CHỮ SỐ",IF(AND(H81&amp;""=I81&amp;"",H81&amp;""=J81&amp;""),"TRÙNG SỐ","LỆCH MÃ"))))</f>
        <v/>
      </c>
      <c r="L81" s="7"/>
      <c r="M81" s="7"/>
      <c r="N81" s="7"/>
      <c r="O81" s="7"/>
      <c r="P81" s="7"/>
      <c r="Q81" s="7"/>
      <c r="R81" s="7"/>
      <c r="S81" s="7"/>
      <c r="T81" s="7"/>
      <c r="U81" s="7"/>
      <c r="V81" s="7"/>
      <c r="W81" s="7"/>
      <c r="X81" s="7"/>
      <c r="Y81" s="7"/>
      <c r="Z81" s="7"/>
      <c r="AA81" s="7"/>
      <c r="AB81" s="9">
        <f>IF(A81="","",IF(SUMPRODUCT(--EXACT($A$6:$A$105,A81))&gt;1,"TRÙNG SKU: XEM LẠI",""))</f>
        <v/>
      </c>
      <c r="AC81" s="10"/>
      <c r="AD81" s="7"/>
      <c r="AE81" s="7"/>
    </row>
    <row r="82" spans="1:31" ht="32" customHeight="1">
      <c r="A82" s="7"/>
      <c r="B82" s="7"/>
      <c r="C82" s="7"/>
      <c r="D82" s="7"/>
      <c r="E82" s="9">
        <f>IF(B82="","",IF(AND(OR(LEN(B82&amp;"")=13,LEN(B82&amp;"")=14),SUMPRODUCT(--ISNUMBER(FIND(MID(B82&amp;"",ROW($1:$14),1),"0123456789")),--(ROW($1:$14)&lt;=LEN(B82&amp;"")))=LEN(B82&amp;"")),IF(LEN(B82&amp;"")=13,"0"&amp;B82,B82&amp;""),"KIỂM TRA ĐỊNH DẠNG"))</f>
        <v/>
      </c>
      <c r="F82" s="9">
        <f>IF(C82="","",IF(AND(OR(LEN(C82&amp;"")=13,LEN(C82&amp;"")=14),SUMPRODUCT(--ISNUMBER(FIND(MID(C82&amp;"",ROW($1:$14),1),"0123456789")),--(ROW($1:$14)&lt;=LEN(C82&amp;"")))=LEN(C82&amp;"")),IF(LEN(C82&amp;"")=13,"0"&amp;C82,C82&amp;""),"KIỂM TRA ĐỊNH DẠNG"))</f>
        <v/>
      </c>
      <c r="G82" s="9">
        <f>IF(COUNTA(B82:D82)=0,"",IF(COUNTA(B82:D82)&lt;3,"THIẾU DỮ LIỆU",IF(OR(E82="KIỂM TRA ĐỊNH DẠNG",F82="KIỂM TRA ĐỊNH DẠNG",LEN(D82&amp;"")&lt;&gt;14),"KIỂM TRA ĐỊNH DẠNG",IF(AND(E82=F82,E82=D82&amp;""),"TRÙNG SỐ","LỆCH SỐ"))))</f>
        <v/>
      </c>
      <c r="H82" s="7"/>
      <c r="I82" s="7"/>
      <c r="J82" s="7"/>
      <c r="K82" s="9">
        <f>IF(COUNTA(H82:J82)=0,"",IF(COUNTA(H82:J82)&lt;3,"THIẾU DỮ LIỆU",IF(NOT(AND(AND(LEN(H82&amp;"")=10,SUMPRODUCT(--ISNUMBER(FIND(MID(H82&amp;"",ROW($1:$10),1),"0123456789")))=10),AND(LEN(I82&amp;"")=10,SUMPRODUCT(--ISNUMBER(FIND(MID(I82&amp;"",ROW($1:$10),1),"0123456789")))=10),AND(LEN(J82&amp;"")=10,SUMPRODUCT(--ISNUMBER(FIND(MID(J82&amp;"",ROW($1:$10),1),"0123456789")))=10))),"KIỂM TRA 10 CHỮ SỐ",IF(AND(H82&amp;""=I82&amp;"",H82&amp;""=J82&amp;""),"TRÙNG SỐ","LỆCH MÃ"))))</f>
        <v/>
      </c>
      <c r="L82" s="7"/>
      <c r="M82" s="7"/>
      <c r="N82" s="7"/>
      <c r="O82" s="7"/>
      <c r="P82" s="7"/>
      <c r="Q82" s="7"/>
      <c r="R82" s="7"/>
      <c r="S82" s="7"/>
      <c r="T82" s="7"/>
      <c r="U82" s="7"/>
      <c r="V82" s="7"/>
      <c r="W82" s="7"/>
      <c r="X82" s="7"/>
      <c r="Y82" s="7"/>
      <c r="Z82" s="7"/>
      <c r="AA82" s="7"/>
      <c r="AB82" s="9">
        <f>IF(A82="","",IF(SUMPRODUCT(--EXACT($A$6:$A$105,A82))&gt;1,"TRÙNG SKU: XEM LẠI",""))</f>
        <v/>
      </c>
      <c r="AC82" s="10"/>
      <c r="AD82" s="7"/>
      <c r="AE82" s="7"/>
    </row>
    <row r="83" spans="1:31" ht="32" customHeight="1">
      <c r="A83" s="7"/>
      <c r="B83" s="7"/>
      <c r="C83" s="7"/>
      <c r="D83" s="7"/>
      <c r="E83" s="9">
        <f>IF(B83="","",IF(AND(OR(LEN(B83&amp;"")=13,LEN(B83&amp;"")=14),SUMPRODUCT(--ISNUMBER(FIND(MID(B83&amp;"",ROW($1:$14),1),"0123456789")),--(ROW($1:$14)&lt;=LEN(B83&amp;"")))=LEN(B83&amp;"")),IF(LEN(B83&amp;"")=13,"0"&amp;B83,B83&amp;""),"KIỂM TRA ĐỊNH DẠNG"))</f>
        <v/>
      </c>
      <c r="F83" s="9">
        <f>IF(C83="","",IF(AND(OR(LEN(C83&amp;"")=13,LEN(C83&amp;"")=14),SUMPRODUCT(--ISNUMBER(FIND(MID(C83&amp;"",ROW($1:$14),1),"0123456789")),--(ROW($1:$14)&lt;=LEN(C83&amp;"")))=LEN(C83&amp;"")),IF(LEN(C83&amp;"")=13,"0"&amp;C83,C83&amp;""),"KIỂM TRA ĐỊNH DẠNG"))</f>
        <v/>
      </c>
      <c r="G83" s="9">
        <f>IF(COUNTA(B83:D83)=0,"",IF(COUNTA(B83:D83)&lt;3,"THIẾU DỮ LIỆU",IF(OR(E83="KIỂM TRA ĐỊNH DẠNG",F83="KIỂM TRA ĐỊNH DẠNG",LEN(D83&amp;"")&lt;&gt;14),"KIỂM TRA ĐỊNH DẠNG",IF(AND(E83=F83,E83=D83&amp;""),"TRÙNG SỐ","LỆCH SỐ"))))</f>
        <v/>
      </c>
      <c r="H83" s="7"/>
      <c r="I83" s="7"/>
      <c r="J83" s="7"/>
      <c r="K83" s="9">
        <f>IF(COUNTA(H83:J83)=0,"",IF(COUNTA(H83:J83)&lt;3,"THIẾU DỮ LIỆU",IF(NOT(AND(AND(LEN(H83&amp;"")=10,SUMPRODUCT(--ISNUMBER(FIND(MID(H83&amp;"",ROW($1:$10),1),"0123456789")))=10),AND(LEN(I83&amp;"")=10,SUMPRODUCT(--ISNUMBER(FIND(MID(I83&amp;"",ROW($1:$10),1),"0123456789")))=10),AND(LEN(J83&amp;"")=10,SUMPRODUCT(--ISNUMBER(FIND(MID(J83&amp;"",ROW($1:$10),1),"0123456789")))=10))),"KIỂM TRA 10 CHỮ SỐ",IF(AND(H83&amp;""=I83&amp;"",H83&amp;""=J83&amp;""),"TRÙNG SỐ","LỆCH MÃ"))))</f>
        <v/>
      </c>
      <c r="L83" s="7"/>
      <c r="M83" s="7"/>
      <c r="N83" s="7"/>
      <c r="O83" s="7"/>
      <c r="P83" s="7"/>
      <c r="Q83" s="7"/>
      <c r="R83" s="7"/>
      <c r="S83" s="7"/>
      <c r="T83" s="7"/>
      <c r="U83" s="7"/>
      <c r="V83" s="7"/>
      <c r="W83" s="7"/>
      <c r="X83" s="7"/>
      <c r="Y83" s="7"/>
      <c r="Z83" s="7"/>
      <c r="AA83" s="7"/>
      <c r="AB83" s="9">
        <f>IF(A83="","",IF(SUMPRODUCT(--EXACT($A$6:$A$105,A83))&gt;1,"TRÙNG SKU: XEM LẠI",""))</f>
        <v/>
      </c>
      <c r="AC83" s="10"/>
      <c r="AD83" s="7"/>
      <c r="AE83" s="7"/>
    </row>
    <row r="84" spans="1:31" ht="32" customHeight="1">
      <c r="A84" s="7"/>
      <c r="B84" s="7"/>
      <c r="C84" s="7"/>
      <c r="D84" s="7"/>
      <c r="E84" s="9">
        <f>IF(B84="","",IF(AND(OR(LEN(B84&amp;"")=13,LEN(B84&amp;"")=14),SUMPRODUCT(--ISNUMBER(FIND(MID(B84&amp;"",ROW($1:$14),1),"0123456789")),--(ROW($1:$14)&lt;=LEN(B84&amp;"")))=LEN(B84&amp;"")),IF(LEN(B84&amp;"")=13,"0"&amp;B84,B84&amp;""),"KIỂM TRA ĐỊNH DẠNG"))</f>
        <v/>
      </c>
      <c r="F84" s="9">
        <f>IF(C84="","",IF(AND(OR(LEN(C84&amp;"")=13,LEN(C84&amp;"")=14),SUMPRODUCT(--ISNUMBER(FIND(MID(C84&amp;"",ROW($1:$14),1),"0123456789")),--(ROW($1:$14)&lt;=LEN(C84&amp;"")))=LEN(C84&amp;"")),IF(LEN(C84&amp;"")=13,"0"&amp;C84,C84&amp;""),"KIỂM TRA ĐỊNH DẠNG"))</f>
        <v/>
      </c>
      <c r="G84" s="9">
        <f>IF(COUNTA(B84:D84)=0,"",IF(COUNTA(B84:D84)&lt;3,"THIẾU DỮ LIỆU",IF(OR(E84="KIỂM TRA ĐỊNH DẠNG",F84="KIỂM TRA ĐỊNH DẠNG",LEN(D84&amp;"")&lt;&gt;14),"KIỂM TRA ĐỊNH DẠNG",IF(AND(E84=F84,E84=D84&amp;""),"TRÙNG SỐ","LỆCH SỐ"))))</f>
        <v/>
      </c>
      <c r="H84" s="7"/>
      <c r="I84" s="7"/>
      <c r="J84" s="7"/>
      <c r="K84" s="9">
        <f>IF(COUNTA(H84:J84)=0,"",IF(COUNTA(H84:J84)&lt;3,"THIẾU DỮ LIỆU",IF(NOT(AND(AND(LEN(H84&amp;"")=10,SUMPRODUCT(--ISNUMBER(FIND(MID(H84&amp;"",ROW($1:$10),1),"0123456789")))=10),AND(LEN(I84&amp;"")=10,SUMPRODUCT(--ISNUMBER(FIND(MID(I84&amp;"",ROW($1:$10),1),"0123456789")))=10),AND(LEN(J84&amp;"")=10,SUMPRODUCT(--ISNUMBER(FIND(MID(J84&amp;"",ROW($1:$10),1),"0123456789")))=10))),"KIỂM TRA 10 CHỮ SỐ",IF(AND(H84&amp;""=I84&amp;"",H84&amp;""=J84&amp;""),"TRÙNG SỐ","LỆCH MÃ"))))</f>
        <v/>
      </c>
      <c r="L84" s="7"/>
      <c r="M84" s="7"/>
      <c r="N84" s="7"/>
      <c r="O84" s="7"/>
      <c r="P84" s="7"/>
      <c r="Q84" s="7"/>
      <c r="R84" s="7"/>
      <c r="S84" s="7"/>
      <c r="T84" s="7"/>
      <c r="U84" s="7"/>
      <c r="V84" s="7"/>
      <c r="W84" s="7"/>
      <c r="X84" s="7"/>
      <c r="Y84" s="7"/>
      <c r="Z84" s="7"/>
      <c r="AA84" s="7"/>
      <c r="AB84" s="9">
        <f>IF(A84="","",IF(SUMPRODUCT(--EXACT($A$6:$A$105,A84))&gt;1,"TRÙNG SKU: XEM LẠI",""))</f>
        <v/>
      </c>
      <c r="AC84" s="10"/>
      <c r="AD84" s="7"/>
      <c r="AE84" s="7"/>
    </row>
    <row r="85" spans="1:31" ht="32" customHeight="1">
      <c r="A85" s="7"/>
      <c r="B85" s="7"/>
      <c r="C85" s="7"/>
      <c r="D85" s="7"/>
      <c r="E85" s="9">
        <f>IF(B85="","",IF(AND(OR(LEN(B85&amp;"")=13,LEN(B85&amp;"")=14),SUMPRODUCT(--ISNUMBER(FIND(MID(B85&amp;"",ROW($1:$14),1),"0123456789")),--(ROW($1:$14)&lt;=LEN(B85&amp;"")))=LEN(B85&amp;"")),IF(LEN(B85&amp;"")=13,"0"&amp;B85,B85&amp;""),"KIỂM TRA ĐỊNH DẠNG"))</f>
        <v/>
      </c>
      <c r="F85" s="9">
        <f>IF(C85="","",IF(AND(OR(LEN(C85&amp;"")=13,LEN(C85&amp;"")=14),SUMPRODUCT(--ISNUMBER(FIND(MID(C85&amp;"",ROW($1:$14),1),"0123456789")),--(ROW($1:$14)&lt;=LEN(C85&amp;"")))=LEN(C85&amp;"")),IF(LEN(C85&amp;"")=13,"0"&amp;C85,C85&amp;""),"KIỂM TRA ĐỊNH DẠNG"))</f>
        <v/>
      </c>
      <c r="G85" s="9">
        <f>IF(COUNTA(B85:D85)=0,"",IF(COUNTA(B85:D85)&lt;3,"THIẾU DỮ LIỆU",IF(OR(E85="KIỂM TRA ĐỊNH DẠNG",F85="KIỂM TRA ĐỊNH DẠNG",LEN(D85&amp;"")&lt;&gt;14),"KIỂM TRA ĐỊNH DẠNG",IF(AND(E85=F85,E85=D85&amp;""),"TRÙNG SỐ","LỆCH SỐ"))))</f>
        <v/>
      </c>
      <c r="H85" s="7"/>
      <c r="I85" s="7"/>
      <c r="J85" s="7"/>
      <c r="K85" s="9">
        <f>IF(COUNTA(H85:J85)=0,"",IF(COUNTA(H85:J85)&lt;3,"THIẾU DỮ LIỆU",IF(NOT(AND(AND(LEN(H85&amp;"")=10,SUMPRODUCT(--ISNUMBER(FIND(MID(H85&amp;"",ROW($1:$10),1),"0123456789")))=10),AND(LEN(I85&amp;"")=10,SUMPRODUCT(--ISNUMBER(FIND(MID(I85&amp;"",ROW($1:$10),1),"0123456789")))=10),AND(LEN(J85&amp;"")=10,SUMPRODUCT(--ISNUMBER(FIND(MID(J85&amp;"",ROW($1:$10),1),"0123456789")))=10))),"KIỂM TRA 10 CHỮ SỐ",IF(AND(H85&amp;""=I85&amp;"",H85&amp;""=J85&amp;""),"TRÙNG SỐ","LỆCH MÃ"))))</f>
        <v/>
      </c>
      <c r="L85" s="7"/>
      <c r="M85" s="7"/>
      <c r="N85" s="7"/>
      <c r="O85" s="7"/>
      <c r="P85" s="7"/>
      <c r="Q85" s="7"/>
      <c r="R85" s="7"/>
      <c r="S85" s="7"/>
      <c r="T85" s="7"/>
      <c r="U85" s="7"/>
      <c r="V85" s="7"/>
      <c r="W85" s="7"/>
      <c r="X85" s="7"/>
      <c r="Y85" s="7"/>
      <c r="Z85" s="7"/>
      <c r="AA85" s="7"/>
      <c r="AB85" s="9">
        <f>IF(A85="","",IF(SUMPRODUCT(--EXACT($A$6:$A$105,A85))&gt;1,"TRÙNG SKU: XEM LẠI",""))</f>
        <v/>
      </c>
      <c r="AC85" s="10"/>
      <c r="AD85" s="7"/>
      <c r="AE85" s="7"/>
    </row>
    <row r="86" spans="1:31" ht="32" customHeight="1">
      <c r="A86" s="7"/>
      <c r="B86" s="7"/>
      <c r="C86" s="7"/>
      <c r="D86" s="7"/>
      <c r="E86" s="9">
        <f>IF(B86="","",IF(AND(OR(LEN(B86&amp;"")=13,LEN(B86&amp;"")=14),SUMPRODUCT(--ISNUMBER(FIND(MID(B86&amp;"",ROW($1:$14),1),"0123456789")),--(ROW($1:$14)&lt;=LEN(B86&amp;"")))=LEN(B86&amp;"")),IF(LEN(B86&amp;"")=13,"0"&amp;B86,B86&amp;""),"KIỂM TRA ĐỊNH DẠNG"))</f>
        <v/>
      </c>
      <c r="F86" s="9">
        <f>IF(C86="","",IF(AND(OR(LEN(C86&amp;"")=13,LEN(C86&amp;"")=14),SUMPRODUCT(--ISNUMBER(FIND(MID(C86&amp;"",ROW($1:$14),1),"0123456789")),--(ROW($1:$14)&lt;=LEN(C86&amp;"")))=LEN(C86&amp;"")),IF(LEN(C86&amp;"")=13,"0"&amp;C86,C86&amp;""),"KIỂM TRA ĐỊNH DẠNG"))</f>
        <v/>
      </c>
      <c r="G86" s="9">
        <f>IF(COUNTA(B86:D86)=0,"",IF(COUNTA(B86:D86)&lt;3,"THIẾU DỮ LIỆU",IF(OR(E86="KIỂM TRA ĐỊNH DẠNG",F86="KIỂM TRA ĐỊNH DẠNG",LEN(D86&amp;"")&lt;&gt;14),"KIỂM TRA ĐỊNH DẠNG",IF(AND(E86=F86,E86=D86&amp;""),"TRÙNG SỐ","LỆCH SỐ"))))</f>
        <v/>
      </c>
      <c r="H86" s="7"/>
      <c r="I86" s="7"/>
      <c r="J86" s="7"/>
      <c r="K86" s="9">
        <f>IF(COUNTA(H86:J86)=0,"",IF(COUNTA(H86:J86)&lt;3,"THIẾU DỮ LIỆU",IF(NOT(AND(AND(LEN(H86&amp;"")=10,SUMPRODUCT(--ISNUMBER(FIND(MID(H86&amp;"",ROW($1:$10),1),"0123456789")))=10),AND(LEN(I86&amp;"")=10,SUMPRODUCT(--ISNUMBER(FIND(MID(I86&amp;"",ROW($1:$10),1),"0123456789")))=10),AND(LEN(J86&amp;"")=10,SUMPRODUCT(--ISNUMBER(FIND(MID(J86&amp;"",ROW($1:$10),1),"0123456789")))=10))),"KIỂM TRA 10 CHỮ SỐ",IF(AND(H86&amp;""=I86&amp;"",H86&amp;""=J86&amp;""),"TRÙNG SỐ","LỆCH MÃ"))))</f>
        <v/>
      </c>
      <c r="L86" s="7"/>
      <c r="M86" s="7"/>
      <c r="N86" s="7"/>
      <c r="O86" s="7"/>
      <c r="P86" s="7"/>
      <c r="Q86" s="7"/>
      <c r="R86" s="7"/>
      <c r="S86" s="7"/>
      <c r="T86" s="7"/>
      <c r="U86" s="7"/>
      <c r="V86" s="7"/>
      <c r="W86" s="7"/>
      <c r="X86" s="7"/>
      <c r="Y86" s="7"/>
      <c r="Z86" s="7"/>
      <c r="AA86" s="7"/>
      <c r="AB86" s="9">
        <f>IF(A86="","",IF(SUMPRODUCT(--EXACT($A$6:$A$105,A86))&gt;1,"TRÙNG SKU: XEM LẠI",""))</f>
        <v/>
      </c>
      <c r="AC86" s="10"/>
      <c r="AD86" s="7"/>
      <c r="AE86" s="7"/>
    </row>
    <row r="87" spans="1:31" ht="32" customHeight="1">
      <c r="A87" s="7"/>
      <c r="B87" s="7"/>
      <c r="C87" s="7"/>
      <c r="D87" s="7"/>
      <c r="E87" s="9">
        <f>IF(B87="","",IF(AND(OR(LEN(B87&amp;"")=13,LEN(B87&amp;"")=14),SUMPRODUCT(--ISNUMBER(FIND(MID(B87&amp;"",ROW($1:$14),1),"0123456789")),--(ROW($1:$14)&lt;=LEN(B87&amp;"")))=LEN(B87&amp;"")),IF(LEN(B87&amp;"")=13,"0"&amp;B87,B87&amp;""),"KIỂM TRA ĐỊNH DẠNG"))</f>
        <v/>
      </c>
      <c r="F87" s="9">
        <f>IF(C87="","",IF(AND(OR(LEN(C87&amp;"")=13,LEN(C87&amp;"")=14),SUMPRODUCT(--ISNUMBER(FIND(MID(C87&amp;"",ROW($1:$14),1),"0123456789")),--(ROW($1:$14)&lt;=LEN(C87&amp;"")))=LEN(C87&amp;"")),IF(LEN(C87&amp;"")=13,"0"&amp;C87,C87&amp;""),"KIỂM TRA ĐỊNH DẠNG"))</f>
        <v/>
      </c>
      <c r="G87" s="9">
        <f>IF(COUNTA(B87:D87)=0,"",IF(COUNTA(B87:D87)&lt;3,"THIẾU DỮ LIỆU",IF(OR(E87="KIỂM TRA ĐỊNH DẠNG",F87="KIỂM TRA ĐỊNH DẠNG",LEN(D87&amp;"")&lt;&gt;14),"KIỂM TRA ĐỊNH DẠNG",IF(AND(E87=F87,E87=D87&amp;""),"TRÙNG SỐ","LỆCH SỐ"))))</f>
        <v/>
      </c>
      <c r="H87" s="7"/>
      <c r="I87" s="7"/>
      <c r="J87" s="7"/>
      <c r="K87" s="9">
        <f>IF(COUNTA(H87:J87)=0,"",IF(COUNTA(H87:J87)&lt;3,"THIẾU DỮ LIỆU",IF(NOT(AND(AND(LEN(H87&amp;"")=10,SUMPRODUCT(--ISNUMBER(FIND(MID(H87&amp;"",ROW($1:$10),1),"0123456789")))=10),AND(LEN(I87&amp;"")=10,SUMPRODUCT(--ISNUMBER(FIND(MID(I87&amp;"",ROW($1:$10),1),"0123456789")))=10),AND(LEN(J87&amp;"")=10,SUMPRODUCT(--ISNUMBER(FIND(MID(J87&amp;"",ROW($1:$10),1),"0123456789")))=10))),"KIỂM TRA 10 CHỮ SỐ",IF(AND(H87&amp;""=I87&amp;"",H87&amp;""=J87&amp;""),"TRÙNG SỐ","LỆCH MÃ"))))</f>
        <v/>
      </c>
      <c r="L87" s="7"/>
      <c r="M87" s="7"/>
      <c r="N87" s="7"/>
      <c r="O87" s="7"/>
      <c r="P87" s="7"/>
      <c r="Q87" s="7"/>
      <c r="R87" s="7"/>
      <c r="S87" s="7"/>
      <c r="T87" s="7"/>
      <c r="U87" s="7"/>
      <c r="V87" s="7"/>
      <c r="W87" s="7"/>
      <c r="X87" s="7"/>
      <c r="Y87" s="7"/>
      <c r="Z87" s="7"/>
      <c r="AA87" s="7"/>
      <c r="AB87" s="9">
        <f>IF(A87="","",IF(SUMPRODUCT(--EXACT($A$6:$A$105,A87))&gt;1,"TRÙNG SKU: XEM LẠI",""))</f>
        <v/>
      </c>
      <c r="AC87" s="10"/>
      <c r="AD87" s="7"/>
      <c r="AE87" s="7"/>
    </row>
    <row r="88" spans="1:31" ht="32" customHeight="1">
      <c r="A88" s="7"/>
      <c r="B88" s="7"/>
      <c r="C88" s="7"/>
      <c r="D88" s="7"/>
      <c r="E88" s="9">
        <f>IF(B88="","",IF(AND(OR(LEN(B88&amp;"")=13,LEN(B88&amp;"")=14),SUMPRODUCT(--ISNUMBER(FIND(MID(B88&amp;"",ROW($1:$14),1),"0123456789")),--(ROW($1:$14)&lt;=LEN(B88&amp;"")))=LEN(B88&amp;"")),IF(LEN(B88&amp;"")=13,"0"&amp;B88,B88&amp;""),"KIỂM TRA ĐỊNH DẠNG"))</f>
        <v/>
      </c>
      <c r="F88" s="9">
        <f>IF(C88="","",IF(AND(OR(LEN(C88&amp;"")=13,LEN(C88&amp;"")=14),SUMPRODUCT(--ISNUMBER(FIND(MID(C88&amp;"",ROW($1:$14),1),"0123456789")),--(ROW($1:$14)&lt;=LEN(C88&amp;"")))=LEN(C88&amp;"")),IF(LEN(C88&amp;"")=13,"0"&amp;C88,C88&amp;""),"KIỂM TRA ĐỊNH DẠNG"))</f>
        <v/>
      </c>
      <c r="G88" s="9">
        <f>IF(COUNTA(B88:D88)=0,"",IF(COUNTA(B88:D88)&lt;3,"THIẾU DỮ LIỆU",IF(OR(E88="KIỂM TRA ĐỊNH DẠNG",F88="KIỂM TRA ĐỊNH DẠNG",LEN(D88&amp;"")&lt;&gt;14),"KIỂM TRA ĐỊNH DẠNG",IF(AND(E88=F88,E88=D88&amp;""),"TRÙNG SỐ","LỆCH SỐ"))))</f>
        <v/>
      </c>
      <c r="H88" s="7"/>
      <c r="I88" s="7"/>
      <c r="J88" s="7"/>
      <c r="K88" s="9">
        <f>IF(COUNTA(H88:J88)=0,"",IF(COUNTA(H88:J88)&lt;3,"THIẾU DỮ LIỆU",IF(NOT(AND(AND(LEN(H88&amp;"")=10,SUMPRODUCT(--ISNUMBER(FIND(MID(H88&amp;"",ROW($1:$10),1),"0123456789")))=10),AND(LEN(I88&amp;"")=10,SUMPRODUCT(--ISNUMBER(FIND(MID(I88&amp;"",ROW($1:$10),1),"0123456789")))=10),AND(LEN(J88&amp;"")=10,SUMPRODUCT(--ISNUMBER(FIND(MID(J88&amp;"",ROW($1:$10),1),"0123456789")))=10))),"KIỂM TRA 10 CHỮ SỐ",IF(AND(H88&amp;""=I88&amp;"",H88&amp;""=J88&amp;""),"TRÙNG SỐ","LỆCH MÃ"))))</f>
        <v/>
      </c>
      <c r="L88" s="7"/>
      <c r="M88" s="7"/>
      <c r="N88" s="7"/>
      <c r="O88" s="7"/>
      <c r="P88" s="7"/>
      <c r="Q88" s="7"/>
      <c r="R88" s="7"/>
      <c r="S88" s="7"/>
      <c r="T88" s="7"/>
      <c r="U88" s="7"/>
      <c r="V88" s="7"/>
      <c r="W88" s="7"/>
      <c r="X88" s="7"/>
      <c r="Y88" s="7"/>
      <c r="Z88" s="7"/>
      <c r="AA88" s="7"/>
      <c r="AB88" s="9">
        <f>IF(A88="","",IF(SUMPRODUCT(--EXACT($A$6:$A$105,A88))&gt;1,"TRÙNG SKU: XEM LẠI",""))</f>
        <v/>
      </c>
      <c r="AC88" s="10"/>
      <c r="AD88" s="7"/>
      <c r="AE88" s="7"/>
    </row>
    <row r="89" spans="1:31" ht="32" customHeight="1">
      <c r="A89" s="7"/>
      <c r="B89" s="7"/>
      <c r="C89" s="7"/>
      <c r="D89" s="7"/>
      <c r="E89" s="9">
        <f>IF(B89="","",IF(AND(OR(LEN(B89&amp;"")=13,LEN(B89&amp;"")=14),SUMPRODUCT(--ISNUMBER(FIND(MID(B89&amp;"",ROW($1:$14),1),"0123456789")),--(ROW($1:$14)&lt;=LEN(B89&amp;"")))=LEN(B89&amp;"")),IF(LEN(B89&amp;"")=13,"0"&amp;B89,B89&amp;""),"KIỂM TRA ĐỊNH DẠNG"))</f>
        <v/>
      </c>
      <c r="F89" s="9">
        <f>IF(C89="","",IF(AND(OR(LEN(C89&amp;"")=13,LEN(C89&amp;"")=14),SUMPRODUCT(--ISNUMBER(FIND(MID(C89&amp;"",ROW($1:$14),1),"0123456789")),--(ROW($1:$14)&lt;=LEN(C89&amp;"")))=LEN(C89&amp;"")),IF(LEN(C89&amp;"")=13,"0"&amp;C89,C89&amp;""),"KIỂM TRA ĐỊNH DẠNG"))</f>
        <v/>
      </c>
      <c r="G89" s="9">
        <f>IF(COUNTA(B89:D89)=0,"",IF(COUNTA(B89:D89)&lt;3,"THIẾU DỮ LIỆU",IF(OR(E89="KIỂM TRA ĐỊNH DẠNG",F89="KIỂM TRA ĐỊNH DẠNG",LEN(D89&amp;"")&lt;&gt;14),"KIỂM TRA ĐỊNH DẠNG",IF(AND(E89=F89,E89=D89&amp;""),"TRÙNG SỐ","LỆCH SỐ"))))</f>
        <v/>
      </c>
      <c r="H89" s="7"/>
      <c r="I89" s="7"/>
      <c r="J89" s="7"/>
      <c r="K89" s="9">
        <f>IF(COUNTA(H89:J89)=0,"",IF(COUNTA(H89:J89)&lt;3,"THIẾU DỮ LIỆU",IF(NOT(AND(AND(LEN(H89&amp;"")=10,SUMPRODUCT(--ISNUMBER(FIND(MID(H89&amp;"",ROW($1:$10),1),"0123456789")))=10),AND(LEN(I89&amp;"")=10,SUMPRODUCT(--ISNUMBER(FIND(MID(I89&amp;"",ROW($1:$10),1),"0123456789")))=10),AND(LEN(J89&amp;"")=10,SUMPRODUCT(--ISNUMBER(FIND(MID(J89&amp;"",ROW($1:$10),1),"0123456789")))=10))),"KIỂM TRA 10 CHỮ SỐ",IF(AND(H89&amp;""=I89&amp;"",H89&amp;""=J89&amp;""),"TRÙNG SỐ","LỆCH MÃ"))))</f>
        <v/>
      </c>
      <c r="L89" s="7"/>
      <c r="M89" s="7"/>
      <c r="N89" s="7"/>
      <c r="O89" s="7"/>
      <c r="P89" s="7"/>
      <c r="Q89" s="7"/>
      <c r="R89" s="7"/>
      <c r="S89" s="7"/>
      <c r="T89" s="7"/>
      <c r="U89" s="7"/>
      <c r="V89" s="7"/>
      <c r="W89" s="7"/>
      <c r="X89" s="7"/>
      <c r="Y89" s="7"/>
      <c r="Z89" s="7"/>
      <c r="AA89" s="7"/>
      <c r="AB89" s="9">
        <f>IF(A89="","",IF(SUMPRODUCT(--EXACT($A$6:$A$105,A89))&gt;1,"TRÙNG SKU: XEM LẠI",""))</f>
        <v/>
      </c>
      <c r="AC89" s="10"/>
      <c r="AD89" s="7"/>
      <c r="AE89" s="7"/>
    </row>
    <row r="90" spans="1:31" ht="32" customHeight="1">
      <c r="A90" s="7"/>
      <c r="B90" s="7"/>
      <c r="C90" s="7"/>
      <c r="D90" s="7"/>
      <c r="E90" s="9">
        <f>IF(B90="","",IF(AND(OR(LEN(B90&amp;"")=13,LEN(B90&amp;"")=14),SUMPRODUCT(--ISNUMBER(FIND(MID(B90&amp;"",ROW($1:$14),1),"0123456789")),--(ROW($1:$14)&lt;=LEN(B90&amp;"")))=LEN(B90&amp;"")),IF(LEN(B90&amp;"")=13,"0"&amp;B90,B90&amp;""),"KIỂM TRA ĐỊNH DẠNG"))</f>
        <v/>
      </c>
      <c r="F90" s="9">
        <f>IF(C90="","",IF(AND(OR(LEN(C90&amp;"")=13,LEN(C90&amp;"")=14),SUMPRODUCT(--ISNUMBER(FIND(MID(C90&amp;"",ROW($1:$14),1),"0123456789")),--(ROW($1:$14)&lt;=LEN(C90&amp;"")))=LEN(C90&amp;"")),IF(LEN(C90&amp;"")=13,"0"&amp;C90,C90&amp;""),"KIỂM TRA ĐỊNH DẠNG"))</f>
        <v/>
      </c>
      <c r="G90" s="9">
        <f>IF(COUNTA(B90:D90)=0,"",IF(COUNTA(B90:D90)&lt;3,"THIẾU DỮ LIỆU",IF(OR(E90="KIỂM TRA ĐỊNH DẠNG",F90="KIỂM TRA ĐỊNH DẠNG",LEN(D90&amp;"")&lt;&gt;14),"KIỂM TRA ĐỊNH DẠNG",IF(AND(E90=F90,E90=D90&amp;""),"TRÙNG SỐ","LỆCH SỐ"))))</f>
        <v/>
      </c>
      <c r="H90" s="7"/>
      <c r="I90" s="7"/>
      <c r="J90" s="7"/>
      <c r="K90" s="9">
        <f>IF(COUNTA(H90:J90)=0,"",IF(COUNTA(H90:J90)&lt;3,"THIẾU DỮ LIỆU",IF(NOT(AND(AND(LEN(H90&amp;"")=10,SUMPRODUCT(--ISNUMBER(FIND(MID(H90&amp;"",ROW($1:$10),1),"0123456789")))=10),AND(LEN(I90&amp;"")=10,SUMPRODUCT(--ISNUMBER(FIND(MID(I90&amp;"",ROW($1:$10),1),"0123456789")))=10),AND(LEN(J90&amp;"")=10,SUMPRODUCT(--ISNUMBER(FIND(MID(J90&amp;"",ROW($1:$10),1),"0123456789")))=10))),"KIỂM TRA 10 CHỮ SỐ",IF(AND(H90&amp;""=I90&amp;"",H90&amp;""=J90&amp;""),"TRÙNG SỐ","LỆCH MÃ"))))</f>
        <v/>
      </c>
      <c r="L90" s="7"/>
      <c r="M90" s="7"/>
      <c r="N90" s="7"/>
      <c r="O90" s="7"/>
      <c r="P90" s="7"/>
      <c r="Q90" s="7"/>
      <c r="R90" s="7"/>
      <c r="S90" s="7"/>
      <c r="T90" s="7"/>
      <c r="U90" s="7"/>
      <c r="V90" s="7"/>
      <c r="W90" s="7"/>
      <c r="X90" s="7"/>
      <c r="Y90" s="7"/>
      <c r="Z90" s="7"/>
      <c r="AA90" s="7"/>
      <c r="AB90" s="9">
        <f>IF(A90="","",IF(SUMPRODUCT(--EXACT($A$6:$A$105,A90))&gt;1,"TRÙNG SKU: XEM LẠI",""))</f>
        <v/>
      </c>
      <c r="AC90" s="10"/>
      <c r="AD90" s="7"/>
      <c r="AE90" s="7"/>
    </row>
    <row r="91" spans="1:31" ht="32" customHeight="1">
      <c r="A91" s="7"/>
      <c r="B91" s="7"/>
      <c r="C91" s="7"/>
      <c r="D91" s="7"/>
      <c r="E91" s="9">
        <f>IF(B91="","",IF(AND(OR(LEN(B91&amp;"")=13,LEN(B91&amp;"")=14),SUMPRODUCT(--ISNUMBER(FIND(MID(B91&amp;"",ROW($1:$14),1),"0123456789")),--(ROW($1:$14)&lt;=LEN(B91&amp;"")))=LEN(B91&amp;"")),IF(LEN(B91&amp;"")=13,"0"&amp;B91,B91&amp;""),"KIỂM TRA ĐỊNH DẠNG"))</f>
        <v/>
      </c>
      <c r="F91" s="9">
        <f>IF(C91="","",IF(AND(OR(LEN(C91&amp;"")=13,LEN(C91&amp;"")=14),SUMPRODUCT(--ISNUMBER(FIND(MID(C91&amp;"",ROW($1:$14),1),"0123456789")),--(ROW($1:$14)&lt;=LEN(C91&amp;"")))=LEN(C91&amp;"")),IF(LEN(C91&amp;"")=13,"0"&amp;C91,C91&amp;""),"KIỂM TRA ĐỊNH DẠNG"))</f>
        <v/>
      </c>
      <c r="G91" s="9">
        <f>IF(COUNTA(B91:D91)=0,"",IF(COUNTA(B91:D91)&lt;3,"THIẾU DỮ LIỆU",IF(OR(E91="KIỂM TRA ĐỊNH DẠNG",F91="KIỂM TRA ĐỊNH DẠNG",LEN(D91&amp;"")&lt;&gt;14),"KIỂM TRA ĐỊNH DẠNG",IF(AND(E91=F91,E91=D91&amp;""),"TRÙNG SỐ","LỆCH SỐ"))))</f>
        <v/>
      </c>
      <c r="H91" s="7"/>
      <c r="I91" s="7"/>
      <c r="J91" s="7"/>
      <c r="K91" s="9">
        <f>IF(COUNTA(H91:J91)=0,"",IF(COUNTA(H91:J91)&lt;3,"THIẾU DỮ LIỆU",IF(NOT(AND(AND(LEN(H91&amp;"")=10,SUMPRODUCT(--ISNUMBER(FIND(MID(H91&amp;"",ROW($1:$10),1),"0123456789")))=10),AND(LEN(I91&amp;"")=10,SUMPRODUCT(--ISNUMBER(FIND(MID(I91&amp;"",ROW($1:$10),1),"0123456789")))=10),AND(LEN(J91&amp;"")=10,SUMPRODUCT(--ISNUMBER(FIND(MID(J91&amp;"",ROW($1:$10),1),"0123456789")))=10))),"KIỂM TRA 10 CHỮ SỐ",IF(AND(H91&amp;""=I91&amp;"",H91&amp;""=J91&amp;""),"TRÙNG SỐ","LỆCH MÃ"))))</f>
        <v/>
      </c>
      <c r="L91" s="7"/>
      <c r="M91" s="7"/>
      <c r="N91" s="7"/>
      <c r="O91" s="7"/>
      <c r="P91" s="7"/>
      <c r="Q91" s="7"/>
      <c r="R91" s="7"/>
      <c r="S91" s="7"/>
      <c r="T91" s="7"/>
      <c r="U91" s="7"/>
      <c r="V91" s="7"/>
      <c r="W91" s="7"/>
      <c r="X91" s="7"/>
      <c r="Y91" s="7"/>
      <c r="Z91" s="7"/>
      <c r="AA91" s="7"/>
      <c r="AB91" s="9">
        <f>IF(A91="","",IF(SUMPRODUCT(--EXACT($A$6:$A$105,A91))&gt;1,"TRÙNG SKU: XEM LẠI",""))</f>
        <v/>
      </c>
      <c r="AC91" s="10"/>
      <c r="AD91" s="7"/>
      <c r="AE91" s="7"/>
    </row>
    <row r="92" spans="1:31" ht="32" customHeight="1">
      <c r="A92" s="7"/>
      <c r="B92" s="7"/>
      <c r="C92" s="7"/>
      <c r="D92" s="7"/>
      <c r="E92" s="9">
        <f>IF(B92="","",IF(AND(OR(LEN(B92&amp;"")=13,LEN(B92&amp;"")=14),SUMPRODUCT(--ISNUMBER(FIND(MID(B92&amp;"",ROW($1:$14),1),"0123456789")),--(ROW($1:$14)&lt;=LEN(B92&amp;"")))=LEN(B92&amp;"")),IF(LEN(B92&amp;"")=13,"0"&amp;B92,B92&amp;""),"KIỂM TRA ĐỊNH DẠNG"))</f>
        <v/>
      </c>
      <c r="F92" s="9">
        <f>IF(C92="","",IF(AND(OR(LEN(C92&amp;"")=13,LEN(C92&amp;"")=14),SUMPRODUCT(--ISNUMBER(FIND(MID(C92&amp;"",ROW($1:$14),1),"0123456789")),--(ROW($1:$14)&lt;=LEN(C92&amp;"")))=LEN(C92&amp;"")),IF(LEN(C92&amp;"")=13,"0"&amp;C92,C92&amp;""),"KIỂM TRA ĐỊNH DẠNG"))</f>
        <v/>
      </c>
      <c r="G92" s="9">
        <f>IF(COUNTA(B92:D92)=0,"",IF(COUNTA(B92:D92)&lt;3,"THIẾU DỮ LIỆU",IF(OR(E92="KIỂM TRA ĐỊNH DẠNG",F92="KIỂM TRA ĐỊNH DẠNG",LEN(D92&amp;"")&lt;&gt;14),"KIỂM TRA ĐỊNH DẠNG",IF(AND(E92=F92,E92=D92&amp;""),"TRÙNG SỐ","LỆCH SỐ"))))</f>
        <v/>
      </c>
      <c r="H92" s="7"/>
      <c r="I92" s="7"/>
      <c r="J92" s="7"/>
      <c r="K92" s="9">
        <f>IF(COUNTA(H92:J92)=0,"",IF(COUNTA(H92:J92)&lt;3,"THIẾU DỮ LIỆU",IF(NOT(AND(AND(LEN(H92&amp;"")=10,SUMPRODUCT(--ISNUMBER(FIND(MID(H92&amp;"",ROW($1:$10),1),"0123456789")))=10),AND(LEN(I92&amp;"")=10,SUMPRODUCT(--ISNUMBER(FIND(MID(I92&amp;"",ROW($1:$10),1),"0123456789")))=10),AND(LEN(J92&amp;"")=10,SUMPRODUCT(--ISNUMBER(FIND(MID(J92&amp;"",ROW($1:$10),1),"0123456789")))=10))),"KIỂM TRA 10 CHỮ SỐ",IF(AND(H92&amp;""=I92&amp;"",H92&amp;""=J92&amp;""),"TRÙNG SỐ","LỆCH MÃ"))))</f>
        <v/>
      </c>
      <c r="L92" s="7"/>
      <c r="M92" s="7"/>
      <c r="N92" s="7"/>
      <c r="O92" s="7"/>
      <c r="P92" s="7"/>
      <c r="Q92" s="7"/>
      <c r="R92" s="7"/>
      <c r="S92" s="7"/>
      <c r="T92" s="7"/>
      <c r="U92" s="7"/>
      <c r="V92" s="7"/>
      <c r="W92" s="7"/>
      <c r="X92" s="7"/>
      <c r="Y92" s="7"/>
      <c r="Z92" s="7"/>
      <c r="AA92" s="7"/>
      <c r="AB92" s="9">
        <f>IF(A92="","",IF(SUMPRODUCT(--EXACT($A$6:$A$105,A92))&gt;1,"TRÙNG SKU: XEM LẠI",""))</f>
        <v/>
      </c>
      <c r="AC92" s="10"/>
      <c r="AD92" s="7"/>
      <c r="AE92" s="7"/>
    </row>
    <row r="93" spans="1:31" ht="32" customHeight="1">
      <c r="A93" s="7"/>
      <c r="B93" s="7"/>
      <c r="C93" s="7"/>
      <c r="D93" s="7"/>
      <c r="E93" s="9">
        <f>IF(B93="","",IF(AND(OR(LEN(B93&amp;"")=13,LEN(B93&amp;"")=14),SUMPRODUCT(--ISNUMBER(FIND(MID(B93&amp;"",ROW($1:$14),1),"0123456789")),--(ROW($1:$14)&lt;=LEN(B93&amp;"")))=LEN(B93&amp;"")),IF(LEN(B93&amp;"")=13,"0"&amp;B93,B93&amp;""),"KIỂM TRA ĐỊNH DẠNG"))</f>
        <v/>
      </c>
      <c r="F93" s="9">
        <f>IF(C93="","",IF(AND(OR(LEN(C93&amp;"")=13,LEN(C93&amp;"")=14),SUMPRODUCT(--ISNUMBER(FIND(MID(C93&amp;"",ROW($1:$14),1),"0123456789")),--(ROW($1:$14)&lt;=LEN(C93&amp;"")))=LEN(C93&amp;"")),IF(LEN(C93&amp;"")=13,"0"&amp;C93,C93&amp;""),"KIỂM TRA ĐỊNH DẠNG"))</f>
        <v/>
      </c>
      <c r="G93" s="9">
        <f>IF(COUNTA(B93:D93)=0,"",IF(COUNTA(B93:D93)&lt;3,"THIẾU DỮ LIỆU",IF(OR(E93="KIỂM TRA ĐỊNH DẠNG",F93="KIỂM TRA ĐỊNH DẠNG",LEN(D93&amp;"")&lt;&gt;14),"KIỂM TRA ĐỊNH DẠNG",IF(AND(E93=F93,E93=D93&amp;""),"TRÙNG SỐ","LỆCH SỐ"))))</f>
        <v/>
      </c>
      <c r="H93" s="7"/>
      <c r="I93" s="7"/>
      <c r="J93" s="7"/>
      <c r="K93" s="9">
        <f>IF(COUNTA(H93:J93)=0,"",IF(COUNTA(H93:J93)&lt;3,"THIẾU DỮ LIỆU",IF(NOT(AND(AND(LEN(H93&amp;"")=10,SUMPRODUCT(--ISNUMBER(FIND(MID(H93&amp;"",ROW($1:$10),1),"0123456789")))=10),AND(LEN(I93&amp;"")=10,SUMPRODUCT(--ISNUMBER(FIND(MID(I93&amp;"",ROW($1:$10),1),"0123456789")))=10),AND(LEN(J93&amp;"")=10,SUMPRODUCT(--ISNUMBER(FIND(MID(J93&amp;"",ROW($1:$10),1),"0123456789")))=10))),"KIỂM TRA 10 CHỮ SỐ",IF(AND(H93&amp;""=I93&amp;"",H93&amp;""=J93&amp;""),"TRÙNG SỐ","LỆCH MÃ"))))</f>
        <v/>
      </c>
      <c r="L93" s="7"/>
      <c r="M93" s="7"/>
      <c r="N93" s="7"/>
      <c r="O93" s="7"/>
      <c r="P93" s="7"/>
      <c r="Q93" s="7"/>
      <c r="R93" s="7"/>
      <c r="S93" s="7"/>
      <c r="T93" s="7"/>
      <c r="U93" s="7"/>
      <c r="V93" s="7"/>
      <c r="W93" s="7"/>
      <c r="X93" s="7"/>
      <c r="Y93" s="7"/>
      <c r="Z93" s="7"/>
      <c r="AA93" s="7"/>
      <c r="AB93" s="9">
        <f>IF(A93="","",IF(SUMPRODUCT(--EXACT($A$6:$A$105,A93))&gt;1,"TRÙNG SKU: XEM LẠI",""))</f>
        <v/>
      </c>
      <c r="AC93" s="10"/>
      <c r="AD93" s="7"/>
      <c r="AE93" s="7"/>
    </row>
    <row r="94" spans="1:31" ht="32" customHeight="1">
      <c r="A94" s="7"/>
      <c r="B94" s="7"/>
      <c r="C94" s="7"/>
      <c r="D94" s="7"/>
      <c r="E94" s="9">
        <f>IF(B94="","",IF(AND(OR(LEN(B94&amp;"")=13,LEN(B94&amp;"")=14),SUMPRODUCT(--ISNUMBER(FIND(MID(B94&amp;"",ROW($1:$14),1),"0123456789")),--(ROW($1:$14)&lt;=LEN(B94&amp;"")))=LEN(B94&amp;"")),IF(LEN(B94&amp;"")=13,"0"&amp;B94,B94&amp;""),"KIỂM TRA ĐỊNH DẠNG"))</f>
        <v/>
      </c>
      <c r="F94" s="9">
        <f>IF(C94="","",IF(AND(OR(LEN(C94&amp;"")=13,LEN(C94&amp;"")=14),SUMPRODUCT(--ISNUMBER(FIND(MID(C94&amp;"",ROW($1:$14),1),"0123456789")),--(ROW($1:$14)&lt;=LEN(C94&amp;"")))=LEN(C94&amp;"")),IF(LEN(C94&amp;"")=13,"0"&amp;C94,C94&amp;""),"KIỂM TRA ĐỊNH DẠNG"))</f>
        <v/>
      </c>
      <c r="G94" s="9">
        <f>IF(COUNTA(B94:D94)=0,"",IF(COUNTA(B94:D94)&lt;3,"THIẾU DỮ LIỆU",IF(OR(E94="KIỂM TRA ĐỊNH DẠNG",F94="KIỂM TRA ĐỊNH DẠNG",LEN(D94&amp;"")&lt;&gt;14),"KIỂM TRA ĐỊNH DẠNG",IF(AND(E94=F94,E94=D94&amp;""),"TRÙNG SỐ","LỆCH SỐ"))))</f>
        <v/>
      </c>
      <c r="H94" s="7"/>
      <c r="I94" s="7"/>
      <c r="J94" s="7"/>
      <c r="K94" s="9">
        <f>IF(COUNTA(H94:J94)=0,"",IF(COUNTA(H94:J94)&lt;3,"THIẾU DỮ LIỆU",IF(NOT(AND(AND(LEN(H94&amp;"")=10,SUMPRODUCT(--ISNUMBER(FIND(MID(H94&amp;"",ROW($1:$10),1),"0123456789")))=10),AND(LEN(I94&amp;"")=10,SUMPRODUCT(--ISNUMBER(FIND(MID(I94&amp;"",ROW($1:$10),1),"0123456789")))=10),AND(LEN(J94&amp;"")=10,SUMPRODUCT(--ISNUMBER(FIND(MID(J94&amp;"",ROW($1:$10),1),"0123456789")))=10))),"KIỂM TRA 10 CHỮ SỐ",IF(AND(H94&amp;""=I94&amp;"",H94&amp;""=J94&amp;""),"TRÙNG SỐ","LỆCH MÃ"))))</f>
        <v/>
      </c>
      <c r="L94" s="7"/>
      <c r="M94" s="7"/>
      <c r="N94" s="7"/>
      <c r="O94" s="7"/>
      <c r="P94" s="7"/>
      <c r="Q94" s="7"/>
      <c r="R94" s="7"/>
      <c r="S94" s="7"/>
      <c r="T94" s="7"/>
      <c r="U94" s="7"/>
      <c r="V94" s="7"/>
      <c r="W94" s="7"/>
      <c r="X94" s="7"/>
      <c r="Y94" s="7"/>
      <c r="Z94" s="7"/>
      <c r="AA94" s="7"/>
      <c r="AB94" s="9">
        <f>IF(A94="","",IF(SUMPRODUCT(--EXACT($A$6:$A$105,A94))&gt;1,"TRÙNG SKU: XEM LẠI",""))</f>
        <v/>
      </c>
      <c r="AC94" s="10"/>
      <c r="AD94" s="7"/>
      <c r="AE94" s="7"/>
    </row>
    <row r="95" spans="1:31" ht="32" customHeight="1">
      <c r="A95" s="7"/>
      <c r="B95" s="7"/>
      <c r="C95" s="7"/>
      <c r="D95" s="7"/>
      <c r="E95" s="9">
        <f>IF(B95="","",IF(AND(OR(LEN(B95&amp;"")=13,LEN(B95&amp;"")=14),SUMPRODUCT(--ISNUMBER(FIND(MID(B95&amp;"",ROW($1:$14),1),"0123456789")),--(ROW($1:$14)&lt;=LEN(B95&amp;"")))=LEN(B95&amp;"")),IF(LEN(B95&amp;"")=13,"0"&amp;B95,B95&amp;""),"KIỂM TRA ĐỊNH DẠNG"))</f>
        <v/>
      </c>
      <c r="F95" s="9">
        <f>IF(C95="","",IF(AND(OR(LEN(C95&amp;"")=13,LEN(C95&amp;"")=14),SUMPRODUCT(--ISNUMBER(FIND(MID(C95&amp;"",ROW($1:$14),1),"0123456789")),--(ROW($1:$14)&lt;=LEN(C95&amp;"")))=LEN(C95&amp;"")),IF(LEN(C95&amp;"")=13,"0"&amp;C95,C95&amp;""),"KIỂM TRA ĐỊNH DẠNG"))</f>
        <v/>
      </c>
      <c r="G95" s="9">
        <f>IF(COUNTA(B95:D95)=0,"",IF(COUNTA(B95:D95)&lt;3,"THIẾU DỮ LIỆU",IF(OR(E95="KIỂM TRA ĐỊNH DẠNG",F95="KIỂM TRA ĐỊNH DẠNG",LEN(D95&amp;"")&lt;&gt;14),"KIỂM TRA ĐỊNH DẠNG",IF(AND(E95=F95,E95=D95&amp;""),"TRÙNG SỐ","LỆCH SỐ"))))</f>
        <v/>
      </c>
      <c r="H95" s="7"/>
      <c r="I95" s="7"/>
      <c r="J95" s="7"/>
      <c r="K95" s="9">
        <f>IF(COUNTA(H95:J95)=0,"",IF(COUNTA(H95:J95)&lt;3,"THIẾU DỮ LIỆU",IF(NOT(AND(AND(LEN(H95&amp;"")=10,SUMPRODUCT(--ISNUMBER(FIND(MID(H95&amp;"",ROW($1:$10),1),"0123456789")))=10),AND(LEN(I95&amp;"")=10,SUMPRODUCT(--ISNUMBER(FIND(MID(I95&amp;"",ROW($1:$10),1),"0123456789")))=10),AND(LEN(J95&amp;"")=10,SUMPRODUCT(--ISNUMBER(FIND(MID(J95&amp;"",ROW($1:$10),1),"0123456789")))=10))),"KIỂM TRA 10 CHỮ SỐ",IF(AND(H95&amp;""=I95&amp;"",H95&amp;""=J95&amp;""),"TRÙNG SỐ","LỆCH MÃ"))))</f>
        <v/>
      </c>
      <c r="L95" s="7"/>
      <c r="M95" s="7"/>
      <c r="N95" s="7"/>
      <c r="O95" s="7"/>
      <c r="P95" s="7"/>
      <c r="Q95" s="7"/>
      <c r="R95" s="7"/>
      <c r="S95" s="7"/>
      <c r="T95" s="7"/>
      <c r="U95" s="7"/>
      <c r="V95" s="7"/>
      <c r="W95" s="7"/>
      <c r="X95" s="7"/>
      <c r="Y95" s="7"/>
      <c r="Z95" s="7"/>
      <c r="AA95" s="7"/>
      <c r="AB95" s="9">
        <f>IF(A95="","",IF(SUMPRODUCT(--EXACT($A$6:$A$105,A95))&gt;1,"TRÙNG SKU: XEM LẠI",""))</f>
        <v/>
      </c>
      <c r="AC95" s="10"/>
      <c r="AD95" s="7"/>
      <c r="AE95" s="7"/>
    </row>
    <row r="96" spans="1:31" ht="32" customHeight="1">
      <c r="A96" s="7"/>
      <c r="B96" s="7"/>
      <c r="C96" s="7"/>
      <c r="D96" s="7"/>
      <c r="E96" s="9">
        <f>IF(B96="","",IF(AND(OR(LEN(B96&amp;"")=13,LEN(B96&amp;"")=14),SUMPRODUCT(--ISNUMBER(FIND(MID(B96&amp;"",ROW($1:$14),1),"0123456789")),--(ROW($1:$14)&lt;=LEN(B96&amp;"")))=LEN(B96&amp;"")),IF(LEN(B96&amp;"")=13,"0"&amp;B96,B96&amp;""),"KIỂM TRA ĐỊNH DẠNG"))</f>
        <v/>
      </c>
      <c r="F96" s="9">
        <f>IF(C96="","",IF(AND(OR(LEN(C96&amp;"")=13,LEN(C96&amp;"")=14),SUMPRODUCT(--ISNUMBER(FIND(MID(C96&amp;"",ROW($1:$14),1),"0123456789")),--(ROW($1:$14)&lt;=LEN(C96&amp;"")))=LEN(C96&amp;"")),IF(LEN(C96&amp;"")=13,"0"&amp;C96,C96&amp;""),"KIỂM TRA ĐỊNH DẠNG"))</f>
        <v/>
      </c>
      <c r="G96" s="9">
        <f>IF(COUNTA(B96:D96)=0,"",IF(COUNTA(B96:D96)&lt;3,"THIẾU DỮ LIỆU",IF(OR(E96="KIỂM TRA ĐỊNH DẠNG",F96="KIỂM TRA ĐỊNH DẠNG",LEN(D96&amp;"")&lt;&gt;14),"KIỂM TRA ĐỊNH DẠNG",IF(AND(E96=F96,E96=D96&amp;""),"TRÙNG SỐ","LỆCH SỐ"))))</f>
        <v/>
      </c>
      <c r="H96" s="7"/>
      <c r="I96" s="7"/>
      <c r="J96" s="7"/>
      <c r="K96" s="9">
        <f>IF(COUNTA(H96:J96)=0,"",IF(COUNTA(H96:J96)&lt;3,"THIẾU DỮ LIỆU",IF(NOT(AND(AND(LEN(H96&amp;"")=10,SUMPRODUCT(--ISNUMBER(FIND(MID(H96&amp;"",ROW($1:$10),1),"0123456789")))=10),AND(LEN(I96&amp;"")=10,SUMPRODUCT(--ISNUMBER(FIND(MID(I96&amp;"",ROW($1:$10),1),"0123456789")))=10),AND(LEN(J96&amp;"")=10,SUMPRODUCT(--ISNUMBER(FIND(MID(J96&amp;"",ROW($1:$10),1),"0123456789")))=10))),"KIỂM TRA 10 CHỮ SỐ",IF(AND(H96&amp;""=I96&amp;"",H96&amp;""=J96&amp;""),"TRÙNG SỐ","LỆCH MÃ"))))</f>
        <v/>
      </c>
      <c r="L96" s="7"/>
      <c r="M96" s="7"/>
      <c r="N96" s="7"/>
      <c r="O96" s="7"/>
      <c r="P96" s="7"/>
      <c r="Q96" s="7"/>
      <c r="R96" s="7"/>
      <c r="S96" s="7"/>
      <c r="T96" s="7"/>
      <c r="U96" s="7"/>
      <c r="V96" s="7"/>
      <c r="W96" s="7"/>
      <c r="X96" s="7"/>
      <c r="Y96" s="7"/>
      <c r="Z96" s="7"/>
      <c r="AA96" s="7"/>
      <c r="AB96" s="9">
        <f>IF(A96="","",IF(SUMPRODUCT(--EXACT($A$6:$A$105,A96))&gt;1,"TRÙNG SKU: XEM LẠI",""))</f>
        <v/>
      </c>
      <c r="AC96" s="10"/>
      <c r="AD96" s="7"/>
      <c r="AE96" s="7"/>
    </row>
    <row r="97" spans="1:31" ht="32" customHeight="1">
      <c r="A97" s="7"/>
      <c r="B97" s="7"/>
      <c r="C97" s="7"/>
      <c r="D97" s="7"/>
      <c r="E97" s="9">
        <f>IF(B97="","",IF(AND(OR(LEN(B97&amp;"")=13,LEN(B97&amp;"")=14),SUMPRODUCT(--ISNUMBER(FIND(MID(B97&amp;"",ROW($1:$14),1),"0123456789")),--(ROW($1:$14)&lt;=LEN(B97&amp;"")))=LEN(B97&amp;"")),IF(LEN(B97&amp;"")=13,"0"&amp;B97,B97&amp;""),"KIỂM TRA ĐỊNH DẠNG"))</f>
        <v/>
      </c>
      <c r="F97" s="9">
        <f>IF(C97="","",IF(AND(OR(LEN(C97&amp;"")=13,LEN(C97&amp;"")=14),SUMPRODUCT(--ISNUMBER(FIND(MID(C97&amp;"",ROW($1:$14),1),"0123456789")),--(ROW($1:$14)&lt;=LEN(C97&amp;"")))=LEN(C97&amp;"")),IF(LEN(C97&amp;"")=13,"0"&amp;C97,C97&amp;""),"KIỂM TRA ĐỊNH DẠNG"))</f>
        <v/>
      </c>
      <c r="G97" s="9">
        <f>IF(COUNTA(B97:D97)=0,"",IF(COUNTA(B97:D97)&lt;3,"THIẾU DỮ LIỆU",IF(OR(E97="KIỂM TRA ĐỊNH DẠNG",F97="KIỂM TRA ĐỊNH DẠNG",LEN(D97&amp;"")&lt;&gt;14),"KIỂM TRA ĐỊNH DẠNG",IF(AND(E97=F97,E97=D97&amp;""),"TRÙNG SỐ","LỆCH SỐ"))))</f>
        <v/>
      </c>
      <c r="H97" s="7"/>
      <c r="I97" s="7"/>
      <c r="J97" s="7"/>
      <c r="K97" s="9">
        <f>IF(COUNTA(H97:J97)=0,"",IF(COUNTA(H97:J97)&lt;3,"THIẾU DỮ LIỆU",IF(NOT(AND(AND(LEN(H97&amp;"")=10,SUMPRODUCT(--ISNUMBER(FIND(MID(H97&amp;"",ROW($1:$10),1),"0123456789")))=10),AND(LEN(I97&amp;"")=10,SUMPRODUCT(--ISNUMBER(FIND(MID(I97&amp;"",ROW($1:$10),1),"0123456789")))=10),AND(LEN(J97&amp;"")=10,SUMPRODUCT(--ISNUMBER(FIND(MID(J97&amp;"",ROW($1:$10),1),"0123456789")))=10))),"KIỂM TRA 10 CHỮ SỐ",IF(AND(H97&amp;""=I97&amp;"",H97&amp;""=J97&amp;""),"TRÙNG SỐ","LỆCH MÃ"))))</f>
        <v/>
      </c>
      <c r="L97" s="7"/>
      <c r="M97" s="7"/>
      <c r="N97" s="7"/>
      <c r="O97" s="7"/>
      <c r="P97" s="7"/>
      <c r="Q97" s="7"/>
      <c r="R97" s="7"/>
      <c r="S97" s="7"/>
      <c r="T97" s="7"/>
      <c r="U97" s="7"/>
      <c r="V97" s="7"/>
      <c r="W97" s="7"/>
      <c r="X97" s="7"/>
      <c r="Y97" s="7"/>
      <c r="Z97" s="7"/>
      <c r="AA97" s="7"/>
      <c r="AB97" s="9">
        <f>IF(A97="","",IF(SUMPRODUCT(--EXACT($A$6:$A$105,A97))&gt;1,"TRÙNG SKU: XEM LẠI",""))</f>
        <v/>
      </c>
      <c r="AC97" s="10"/>
      <c r="AD97" s="7"/>
      <c r="AE97" s="7"/>
    </row>
    <row r="98" spans="1:31" ht="32" customHeight="1">
      <c r="A98" s="7"/>
      <c r="B98" s="7"/>
      <c r="C98" s="7"/>
      <c r="D98" s="7"/>
      <c r="E98" s="9">
        <f>IF(B98="","",IF(AND(OR(LEN(B98&amp;"")=13,LEN(B98&amp;"")=14),SUMPRODUCT(--ISNUMBER(FIND(MID(B98&amp;"",ROW($1:$14),1),"0123456789")),--(ROW($1:$14)&lt;=LEN(B98&amp;"")))=LEN(B98&amp;"")),IF(LEN(B98&amp;"")=13,"0"&amp;B98,B98&amp;""),"KIỂM TRA ĐỊNH DẠNG"))</f>
        <v/>
      </c>
      <c r="F98" s="9">
        <f>IF(C98="","",IF(AND(OR(LEN(C98&amp;"")=13,LEN(C98&amp;"")=14),SUMPRODUCT(--ISNUMBER(FIND(MID(C98&amp;"",ROW($1:$14),1),"0123456789")),--(ROW($1:$14)&lt;=LEN(C98&amp;"")))=LEN(C98&amp;"")),IF(LEN(C98&amp;"")=13,"0"&amp;C98,C98&amp;""),"KIỂM TRA ĐỊNH DẠNG"))</f>
        <v/>
      </c>
      <c r="G98" s="9">
        <f>IF(COUNTA(B98:D98)=0,"",IF(COUNTA(B98:D98)&lt;3,"THIẾU DỮ LIỆU",IF(OR(E98="KIỂM TRA ĐỊNH DẠNG",F98="KIỂM TRA ĐỊNH DẠNG",LEN(D98&amp;"")&lt;&gt;14),"KIỂM TRA ĐỊNH DẠNG",IF(AND(E98=F98,E98=D98&amp;""),"TRÙNG SỐ","LỆCH SỐ"))))</f>
        <v/>
      </c>
      <c r="H98" s="7"/>
      <c r="I98" s="7"/>
      <c r="J98" s="7"/>
      <c r="K98" s="9">
        <f>IF(COUNTA(H98:J98)=0,"",IF(COUNTA(H98:J98)&lt;3,"THIẾU DỮ LIỆU",IF(NOT(AND(AND(LEN(H98&amp;"")=10,SUMPRODUCT(--ISNUMBER(FIND(MID(H98&amp;"",ROW($1:$10),1),"0123456789")))=10),AND(LEN(I98&amp;"")=10,SUMPRODUCT(--ISNUMBER(FIND(MID(I98&amp;"",ROW($1:$10),1),"0123456789")))=10),AND(LEN(J98&amp;"")=10,SUMPRODUCT(--ISNUMBER(FIND(MID(J98&amp;"",ROW($1:$10),1),"0123456789")))=10))),"KIỂM TRA 10 CHỮ SỐ",IF(AND(H98&amp;""=I98&amp;"",H98&amp;""=J98&amp;""),"TRÙNG SỐ","LỆCH MÃ"))))</f>
        <v/>
      </c>
      <c r="L98" s="7"/>
      <c r="M98" s="7"/>
      <c r="N98" s="7"/>
      <c r="O98" s="7"/>
      <c r="P98" s="7"/>
      <c r="Q98" s="7"/>
      <c r="R98" s="7"/>
      <c r="S98" s="7"/>
      <c r="T98" s="7"/>
      <c r="U98" s="7"/>
      <c r="V98" s="7"/>
      <c r="W98" s="7"/>
      <c r="X98" s="7"/>
      <c r="Y98" s="7"/>
      <c r="Z98" s="7"/>
      <c r="AA98" s="7"/>
      <c r="AB98" s="9">
        <f>IF(A98="","",IF(SUMPRODUCT(--EXACT($A$6:$A$105,A98))&gt;1,"TRÙNG SKU: XEM LẠI",""))</f>
        <v/>
      </c>
      <c r="AC98" s="10"/>
      <c r="AD98" s="7"/>
      <c r="AE98" s="7"/>
    </row>
    <row r="99" spans="1:31" ht="32" customHeight="1">
      <c r="A99" s="7"/>
      <c r="B99" s="7"/>
      <c r="C99" s="7"/>
      <c r="D99" s="7"/>
      <c r="E99" s="9">
        <f>IF(B99="","",IF(AND(OR(LEN(B99&amp;"")=13,LEN(B99&amp;"")=14),SUMPRODUCT(--ISNUMBER(FIND(MID(B99&amp;"",ROW($1:$14),1),"0123456789")),--(ROW($1:$14)&lt;=LEN(B99&amp;"")))=LEN(B99&amp;"")),IF(LEN(B99&amp;"")=13,"0"&amp;B99,B99&amp;""),"KIỂM TRA ĐỊNH DẠNG"))</f>
        <v/>
      </c>
      <c r="F99" s="9">
        <f>IF(C99="","",IF(AND(OR(LEN(C99&amp;"")=13,LEN(C99&amp;"")=14),SUMPRODUCT(--ISNUMBER(FIND(MID(C99&amp;"",ROW($1:$14),1),"0123456789")),--(ROW($1:$14)&lt;=LEN(C99&amp;"")))=LEN(C99&amp;"")),IF(LEN(C99&amp;"")=13,"0"&amp;C99,C99&amp;""),"KIỂM TRA ĐỊNH DẠNG"))</f>
        <v/>
      </c>
      <c r="G99" s="9">
        <f>IF(COUNTA(B99:D99)=0,"",IF(COUNTA(B99:D99)&lt;3,"THIẾU DỮ LIỆU",IF(OR(E99="KIỂM TRA ĐỊNH DẠNG",F99="KIỂM TRA ĐỊNH DẠNG",LEN(D99&amp;"")&lt;&gt;14),"KIỂM TRA ĐỊNH DẠNG",IF(AND(E99=F99,E99=D99&amp;""),"TRÙNG SỐ","LỆCH SỐ"))))</f>
        <v/>
      </c>
      <c r="H99" s="7"/>
      <c r="I99" s="7"/>
      <c r="J99" s="7"/>
      <c r="K99" s="9">
        <f>IF(COUNTA(H99:J99)=0,"",IF(COUNTA(H99:J99)&lt;3,"THIẾU DỮ LIỆU",IF(NOT(AND(AND(LEN(H99&amp;"")=10,SUMPRODUCT(--ISNUMBER(FIND(MID(H99&amp;"",ROW($1:$10),1),"0123456789")))=10),AND(LEN(I99&amp;"")=10,SUMPRODUCT(--ISNUMBER(FIND(MID(I99&amp;"",ROW($1:$10),1),"0123456789")))=10),AND(LEN(J99&amp;"")=10,SUMPRODUCT(--ISNUMBER(FIND(MID(J99&amp;"",ROW($1:$10),1),"0123456789")))=10))),"KIỂM TRA 10 CHỮ SỐ",IF(AND(H99&amp;""=I99&amp;"",H99&amp;""=J99&amp;""),"TRÙNG SỐ","LỆCH MÃ"))))</f>
        <v/>
      </c>
      <c r="L99" s="7"/>
      <c r="M99" s="7"/>
      <c r="N99" s="7"/>
      <c r="O99" s="7"/>
      <c r="P99" s="7"/>
      <c r="Q99" s="7"/>
      <c r="R99" s="7"/>
      <c r="S99" s="7"/>
      <c r="T99" s="7"/>
      <c r="U99" s="7"/>
      <c r="V99" s="7"/>
      <c r="W99" s="7"/>
      <c r="X99" s="7"/>
      <c r="Y99" s="7"/>
      <c r="Z99" s="7"/>
      <c r="AA99" s="7"/>
      <c r="AB99" s="9">
        <f>IF(A99="","",IF(SUMPRODUCT(--EXACT($A$6:$A$105,A99))&gt;1,"TRÙNG SKU: XEM LẠI",""))</f>
        <v/>
      </c>
      <c r="AC99" s="10"/>
      <c r="AD99" s="7"/>
      <c r="AE99" s="7"/>
    </row>
    <row r="100" spans="1:31" ht="32" customHeight="1">
      <c r="A100" s="7"/>
      <c r="B100" s="7"/>
      <c r="C100" s="7"/>
      <c r="D100" s="7"/>
      <c r="E100" s="9">
        <f>IF(B100="","",IF(AND(OR(LEN(B100&amp;"")=13,LEN(B100&amp;"")=14),SUMPRODUCT(--ISNUMBER(FIND(MID(B100&amp;"",ROW($1:$14),1),"0123456789")),--(ROW($1:$14)&lt;=LEN(B100&amp;"")))=LEN(B100&amp;"")),IF(LEN(B100&amp;"")=13,"0"&amp;B100,B100&amp;""),"KIỂM TRA ĐỊNH DẠNG"))</f>
        <v/>
      </c>
      <c r="F100" s="9">
        <f>IF(C100="","",IF(AND(OR(LEN(C100&amp;"")=13,LEN(C100&amp;"")=14),SUMPRODUCT(--ISNUMBER(FIND(MID(C100&amp;"",ROW($1:$14),1),"0123456789")),--(ROW($1:$14)&lt;=LEN(C100&amp;"")))=LEN(C100&amp;"")),IF(LEN(C100&amp;"")=13,"0"&amp;C100,C100&amp;""),"KIỂM TRA ĐỊNH DẠNG"))</f>
        <v/>
      </c>
      <c r="G100" s="9">
        <f>IF(COUNTA(B100:D100)=0,"",IF(COUNTA(B100:D100)&lt;3,"THIẾU DỮ LIỆU",IF(OR(E100="KIỂM TRA ĐỊNH DẠNG",F100="KIỂM TRA ĐỊNH DẠNG",LEN(D100&amp;"")&lt;&gt;14),"KIỂM TRA ĐỊNH DẠNG",IF(AND(E100=F100,E100=D100&amp;""),"TRÙNG SỐ","LỆCH SỐ"))))</f>
        <v/>
      </c>
      <c r="H100" s="7"/>
      <c r="I100" s="7"/>
      <c r="J100" s="7"/>
      <c r="K100" s="9">
        <f>IF(COUNTA(H100:J100)=0,"",IF(COUNTA(H100:J100)&lt;3,"THIẾU DỮ LIỆU",IF(NOT(AND(AND(LEN(H100&amp;"")=10,SUMPRODUCT(--ISNUMBER(FIND(MID(H100&amp;"",ROW($1:$10),1),"0123456789")))=10),AND(LEN(I100&amp;"")=10,SUMPRODUCT(--ISNUMBER(FIND(MID(I100&amp;"",ROW($1:$10),1),"0123456789")))=10),AND(LEN(J100&amp;"")=10,SUMPRODUCT(--ISNUMBER(FIND(MID(J100&amp;"",ROW($1:$10),1),"0123456789")))=10))),"KIỂM TRA 10 CHỮ SỐ",IF(AND(H100&amp;""=I100&amp;"",H100&amp;""=J100&amp;""),"TRÙNG SỐ","LỆCH MÃ"))))</f>
        <v/>
      </c>
      <c r="L100" s="7"/>
      <c r="M100" s="7"/>
      <c r="N100" s="7"/>
      <c r="O100" s="7"/>
      <c r="P100" s="7"/>
      <c r="Q100" s="7"/>
      <c r="R100" s="7"/>
      <c r="S100" s="7"/>
      <c r="T100" s="7"/>
      <c r="U100" s="7"/>
      <c r="V100" s="7"/>
      <c r="W100" s="7"/>
      <c r="X100" s="7"/>
      <c r="Y100" s="7"/>
      <c r="Z100" s="7"/>
      <c r="AA100" s="7"/>
      <c r="AB100" s="9">
        <f>IF(A100="","",IF(SUMPRODUCT(--EXACT($A$6:$A$105,A100))&gt;1,"TRÙNG SKU: XEM LẠI",""))</f>
        <v/>
      </c>
      <c r="AC100" s="10"/>
      <c r="AD100" s="7"/>
      <c r="AE100" s="7"/>
    </row>
    <row r="101" spans="1:31" ht="32" customHeight="1">
      <c r="A101" s="7"/>
      <c r="B101" s="7"/>
      <c r="C101" s="7"/>
      <c r="D101" s="7"/>
      <c r="E101" s="9">
        <f>IF(B101="","",IF(AND(OR(LEN(B101&amp;"")=13,LEN(B101&amp;"")=14),SUMPRODUCT(--ISNUMBER(FIND(MID(B101&amp;"",ROW($1:$14),1),"0123456789")),--(ROW($1:$14)&lt;=LEN(B101&amp;"")))=LEN(B101&amp;"")),IF(LEN(B101&amp;"")=13,"0"&amp;B101,B101&amp;""),"KIỂM TRA ĐỊNH DẠNG"))</f>
        <v/>
      </c>
      <c r="F101" s="9">
        <f>IF(C101="","",IF(AND(OR(LEN(C101&amp;"")=13,LEN(C101&amp;"")=14),SUMPRODUCT(--ISNUMBER(FIND(MID(C101&amp;"",ROW($1:$14),1),"0123456789")),--(ROW($1:$14)&lt;=LEN(C101&amp;"")))=LEN(C101&amp;"")),IF(LEN(C101&amp;"")=13,"0"&amp;C101,C101&amp;""),"KIỂM TRA ĐỊNH DẠNG"))</f>
        <v/>
      </c>
      <c r="G101" s="9">
        <f>IF(COUNTA(B101:D101)=0,"",IF(COUNTA(B101:D101)&lt;3,"THIẾU DỮ LIỆU",IF(OR(E101="KIỂM TRA ĐỊNH DẠNG",F101="KIỂM TRA ĐỊNH DẠNG",LEN(D101&amp;"")&lt;&gt;14),"KIỂM TRA ĐỊNH DẠNG",IF(AND(E101=F101,E101=D101&amp;""),"TRÙNG SỐ","LỆCH SỐ"))))</f>
        <v/>
      </c>
      <c r="H101" s="7"/>
      <c r="I101" s="7"/>
      <c r="J101" s="7"/>
      <c r="K101" s="9">
        <f>IF(COUNTA(H101:J101)=0,"",IF(COUNTA(H101:J101)&lt;3,"THIẾU DỮ LIỆU",IF(NOT(AND(AND(LEN(H101&amp;"")=10,SUMPRODUCT(--ISNUMBER(FIND(MID(H101&amp;"",ROW($1:$10),1),"0123456789")))=10),AND(LEN(I101&amp;"")=10,SUMPRODUCT(--ISNUMBER(FIND(MID(I101&amp;"",ROW($1:$10),1),"0123456789")))=10),AND(LEN(J101&amp;"")=10,SUMPRODUCT(--ISNUMBER(FIND(MID(J101&amp;"",ROW($1:$10),1),"0123456789")))=10))),"KIỂM TRA 10 CHỮ SỐ",IF(AND(H101&amp;""=I101&amp;"",H101&amp;""=J101&amp;""),"TRÙNG SỐ","LỆCH MÃ"))))</f>
        <v/>
      </c>
      <c r="L101" s="7"/>
      <c r="M101" s="7"/>
      <c r="N101" s="7"/>
      <c r="O101" s="7"/>
      <c r="P101" s="7"/>
      <c r="Q101" s="7"/>
      <c r="R101" s="7"/>
      <c r="S101" s="7"/>
      <c r="T101" s="7"/>
      <c r="U101" s="7"/>
      <c r="V101" s="7"/>
      <c r="W101" s="7"/>
      <c r="X101" s="7"/>
      <c r="Y101" s="7"/>
      <c r="Z101" s="7"/>
      <c r="AA101" s="7"/>
      <c r="AB101" s="9">
        <f>IF(A101="","",IF(SUMPRODUCT(--EXACT($A$6:$A$105,A101))&gt;1,"TRÙNG SKU: XEM LẠI",""))</f>
        <v/>
      </c>
      <c r="AC101" s="10"/>
      <c r="AD101" s="7"/>
      <c r="AE101" s="7"/>
    </row>
    <row r="102" spans="1:31" ht="32" customHeight="1">
      <c r="A102" s="7"/>
      <c r="B102" s="7"/>
      <c r="C102" s="7"/>
      <c r="D102" s="7"/>
      <c r="E102" s="9">
        <f>IF(B102="","",IF(AND(OR(LEN(B102&amp;"")=13,LEN(B102&amp;"")=14),SUMPRODUCT(--ISNUMBER(FIND(MID(B102&amp;"",ROW($1:$14),1),"0123456789")),--(ROW($1:$14)&lt;=LEN(B102&amp;"")))=LEN(B102&amp;"")),IF(LEN(B102&amp;"")=13,"0"&amp;B102,B102&amp;""),"KIỂM TRA ĐỊNH DẠNG"))</f>
        <v/>
      </c>
      <c r="F102" s="9">
        <f>IF(C102="","",IF(AND(OR(LEN(C102&amp;"")=13,LEN(C102&amp;"")=14),SUMPRODUCT(--ISNUMBER(FIND(MID(C102&amp;"",ROW($1:$14),1),"0123456789")),--(ROW($1:$14)&lt;=LEN(C102&amp;"")))=LEN(C102&amp;"")),IF(LEN(C102&amp;"")=13,"0"&amp;C102,C102&amp;""),"KIỂM TRA ĐỊNH DẠNG"))</f>
        <v/>
      </c>
      <c r="G102" s="9">
        <f>IF(COUNTA(B102:D102)=0,"",IF(COUNTA(B102:D102)&lt;3,"THIẾU DỮ LIỆU",IF(OR(E102="KIỂM TRA ĐỊNH DẠNG",F102="KIỂM TRA ĐỊNH DẠNG",LEN(D102&amp;"")&lt;&gt;14),"KIỂM TRA ĐỊNH DẠNG",IF(AND(E102=F102,E102=D102&amp;""),"TRÙNG SỐ","LỆCH SỐ"))))</f>
        <v/>
      </c>
      <c r="H102" s="7"/>
      <c r="I102" s="7"/>
      <c r="J102" s="7"/>
      <c r="K102" s="9">
        <f>IF(COUNTA(H102:J102)=0,"",IF(COUNTA(H102:J102)&lt;3,"THIẾU DỮ LIỆU",IF(NOT(AND(AND(LEN(H102&amp;"")=10,SUMPRODUCT(--ISNUMBER(FIND(MID(H102&amp;"",ROW($1:$10),1),"0123456789")))=10),AND(LEN(I102&amp;"")=10,SUMPRODUCT(--ISNUMBER(FIND(MID(I102&amp;"",ROW($1:$10),1),"0123456789")))=10),AND(LEN(J102&amp;"")=10,SUMPRODUCT(--ISNUMBER(FIND(MID(J102&amp;"",ROW($1:$10),1),"0123456789")))=10))),"KIỂM TRA 10 CHỮ SỐ",IF(AND(H102&amp;""=I102&amp;"",H102&amp;""=J102&amp;""),"TRÙNG SỐ","LỆCH MÃ"))))</f>
        <v/>
      </c>
      <c r="L102" s="7"/>
      <c r="M102" s="7"/>
      <c r="N102" s="7"/>
      <c r="O102" s="7"/>
      <c r="P102" s="7"/>
      <c r="Q102" s="7"/>
      <c r="R102" s="7"/>
      <c r="S102" s="7"/>
      <c r="T102" s="7"/>
      <c r="U102" s="7"/>
      <c r="V102" s="7"/>
      <c r="W102" s="7"/>
      <c r="X102" s="7"/>
      <c r="Y102" s="7"/>
      <c r="Z102" s="7"/>
      <c r="AA102" s="7"/>
      <c r="AB102" s="9">
        <f>IF(A102="","",IF(SUMPRODUCT(--EXACT($A$6:$A$105,A102))&gt;1,"TRÙNG SKU: XEM LẠI",""))</f>
        <v/>
      </c>
      <c r="AC102" s="10"/>
      <c r="AD102" s="7"/>
      <c r="AE102" s="7"/>
    </row>
    <row r="103" spans="1:31" ht="32" customHeight="1">
      <c r="A103" s="7"/>
      <c r="B103" s="7"/>
      <c r="C103" s="7"/>
      <c r="D103" s="7"/>
      <c r="E103" s="9">
        <f>IF(B103="","",IF(AND(OR(LEN(B103&amp;"")=13,LEN(B103&amp;"")=14),SUMPRODUCT(--ISNUMBER(FIND(MID(B103&amp;"",ROW($1:$14),1),"0123456789")),--(ROW($1:$14)&lt;=LEN(B103&amp;"")))=LEN(B103&amp;"")),IF(LEN(B103&amp;"")=13,"0"&amp;B103,B103&amp;""),"KIỂM TRA ĐỊNH DẠNG"))</f>
        <v/>
      </c>
      <c r="F103" s="9">
        <f>IF(C103="","",IF(AND(OR(LEN(C103&amp;"")=13,LEN(C103&amp;"")=14),SUMPRODUCT(--ISNUMBER(FIND(MID(C103&amp;"",ROW($1:$14),1),"0123456789")),--(ROW($1:$14)&lt;=LEN(C103&amp;"")))=LEN(C103&amp;"")),IF(LEN(C103&amp;"")=13,"0"&amp;C103,C103&amp;""),"KIỂM TRA ĐỊNH DẠNG"))</f>
        <v/>
      </c>
      <c r="G103" s="9">
        <f>IF(COUNTA(B103:D103)=0,"",IF(COUNTA(B103:D103)&lt;3,"THIẾU DỮ LIỆU",IF(OR(E103="KIỂM TRA ĐỊNH DẠNG",F103="KIỂM TRA ĐỊNH DẠNG",LEN(D103&amp;"")&lt;&gt;14),"KIỂM TRA ĐỊNH DẠNG",IF(AND(E103=F103,E103=D103&amp;""),"TRÙNG SỐ","LỆCH SỐ"))))</f>
        <v/>
      </c>
      <c r="H103" s="7"/>
      <c r="I103" s="7"/>
      <c r="J103" s="7"/>
      <c r="K103" s="9">
        <f>IF(COUNTA(H103:J103)=0,"",IF(COUNTA(H103:J103)&lt;3,"THIẾU DỮ LIỆU",IF(NOT(AND(AND(LEN(H103&amp;"")=10,SUMPRODUCT(--ISNUMBER(FIND(MID(H103&amp;"",ROW($1:$10),1),"0123456789")))=10),AND(LEN(I103&amp;"")=10,SUMPRODUCT(--ISNUMBER(FIND(MID(I103&amp;"",ROW($1:$10),1),"0123456789")))=10),AND(LEN(J103&amp;"")=10,SUMPRODUCT(--ISNUMBER(FIND(MID(J103&amp;"",ROW($1:$10),1),"0123456789")))=10))),"KIỂM TRA 10 CHỮ SỐ",IF(AND(H103&amp;""=I103&amp;"",H103&amp;""=J103&amp;""),"TRÙNG SỐ","LỆCH MÃ"))))</f>
        <v/>
      </c>
      <c r="L103" s="7"/>
      <c r="M103" s="7"/>
      <c r="N103" s="7"/>
      <c r="O103" s="7"/>
      <c r="P103" s="7"/>
      <c r="Q103" s="7"/>
      <c r="R103" s="7"/>
      <c r="S103" s="7"/>
      <c r="T103" s="7"/>
      <c r="U103" s="7"/>
      <c r="V103" s="7"/>
      <c r="W103" s="7"/>
      <c r="X103" s="7"/>
      <c r="Y103" s="7"/>
      <c r="Z103" s="7"/>
      <c r="AA103" s="7"/>
      <c r="AB103" s="9">
        <f>IF(A103="","",IF(SUMPRODUCT(--EXACT($A$6:$A$105,A103))&gt;1,"TRÙNG SKU: XEM LẠI",""))</f>
        <v/>
      </c>
      <c r="AC103" s="10"/>
      <c r="AD103" s="7"/>
      <c r="AE103" s="7"/>
    </row>
    <row r="104" spans="1:31" ht="32" customHeight="1">
      <c r="A104" s="7"/>
      <c r="B104" s="7"/>
      <c r="C104" s="7"/>
      <c r="D104" s="7"/>
      <c r="E104" s="9">
        <f>IF(B104="","",IF(AND(OR(LEN(B104&amp;"")=13,LEN(B104&amp;"")=14),SUMPRODUCT(--ISNUMBER(FIND(MID(B104&amp;"",ROW($1:$14),1),"0123456789")),--(ROW($1:$14)&lt;=LEN(B104&amp;"")))=LEN(B104&amp;"")),IF(LEN(B104&amp;"")=13,"0"&amp;B104,B104&amp;""),"KIỂM TRA ĐỊNH DẠNG"))</f>
        <v/>
      </c>
      <c r="F104" s="9">
        <f>IF(C104="","",IF(AND(OR(LEN(C104&amp;"")=13,LEN(C104&amp;"")=14),SUMPRODUCT(--ISNUMBER(FIND(MID(C104&amp;"",ROW($1:$14),1),"0123456789")),--(ROW($1:$14)&lt;=LEN(C104&amp;"")))=LEN(C104&amp;"")),IF(LEN(C104&amp;"")=13,"0"&amp;C104,C104&amp;""),"KIỂM TRA ĐỊNH DẠNG"))</f>
        <v/>
      </c>
      <c r="G104" s="9">
        <f>IF(COUNTA(B104:D104)=0,"",IF(COUNTA(B104:D104)&lt;3,"THIẾU DỮ LIỆU",IF(OR(E104="KIỂM TRA ĐỊNH DẠNG",F104="KIỂM TRA ĐỊNH DẠNG",LEN(D104&amp;"")&lt;&gt;14),"KIỂM TRA ĐỊNH DẠNG",IF(AND(E104=F104,E104=D104&amp;""),"TRÙNG SỐ","LỆCH SỐ"))))</f>
        <v/>
      </c>
      <c r="H104" s="7"/>
      <c r="I104" s="7"/>
      <c r="J104" s="7"/>
      <c r="K104" s="9">
        <f>IF(COUNTA(H104:J104)=0,"",IF(COUNTA(H104:J104)&lt;3,"THIẾU DỮ LIỆU",IF(NOT(AND(AND(LEN(H104&amp;"")=10,SUMPRODUCT(--ISNUMBER(FIND(MID(H104&amp;"",ROW($1:$10),1),"0123456789")))=10),AND(LEN(I104&amp;"")=10,SUMPRODUCT(--ISNUMBER(FIND(MID(I104&amp;"",ROW($1:$10),1),"0123456789")))=10),AND(LEN(J104&amp;"")=10,SUMPRODUCT(--ISNUMBER(FIND(MID(J104&amp;"",ROW($1:$10),1),"0123456789")))=10))),"KIỂM TRA 10 CHỮ SỐ",IF(AND(H104&amp;""=I104&amp;"",H104&amp;""=J104&amp;""),"TRÙNG SỐ","LỆCH MÃ"))))</f>
        <v/>
      </c>
      <c r="L104" s="7"/>
      <c r="M104" s="7"/>
      <c r="N104" s="7"/>
      <c r="O104" s="7"/>
      <c r="P104" s="7"/>
      <c r="Q104" s="7"/>
      <c r="R104" s="7"/>
      <c r="S104" s="7"/>
      <c r="T104" s="7"/>
      <c r="U104" s="7"/>
      <c r="V104" s="7"/>
      <c r="W104" s="7"/>
      <c r="X104" s="7"/>
      <c r="Y104" s="7"/>
      <c r="Z104" s="7"/>
      <c r="AA104" s="7"/>
      <c r="AB104" s="9">
        <f>IF(A104="","",IF(SUMPRODUCT(--EXACT($A$6:$A$105,A104))&gt;1,"TRÙNG SKU: XEM LẠI",""))</f>
        <v/>
      </c>
      <c r="AC104" s="10"/>
      <c r="AD104" s="7"/>
      <c r="AE104" s="7"/>
    </row>
    <row r="105" spans="1:31" ht="32" customHeight="1">
      <c r="A105" s="7"/>
      <c r="B105" s="7"/>
      <c r="C105" s="7"/>
      <c r="D105" s="7"/>
      <c r="E105" s="9">
        <f>IF(B105="","",IF(AND(OR(LEN(B105&amp;"")=13,LEN(B105&amp;"")=14),SUMPRODUCT(--ISNUMBER(FIND(MID(B105&amp;"",ROW($1:$14),1),"0123456789")),--(ROW($1:$14)&lt;=LEN(B105&amp;"")))=LEN(B105&amp;"")),IF(LEN(B105&amp;"")=13,"0"&amp;B105,B105&amp;""),"KIỂM TRA ĐỊNH DẠNG"))</f>
        <v/>
      </c>
      <c r="F105" s="9">
        <f>IF(C105="","",IF(AND(OR(LEN(C105&amp;"")=13,LEN(C105&amp;"")=14),SUMPRODUCT(--ISNUMBER(FIND(MID(C105&amp;"",ROW($1:$14),1),"0123456789")),--(ROW($1:$14)&lt;=LEN(C105&amp;"")))=LEN(C105&amp;"")),IF(LEN(C105&amp;"")=13,"0"&amp;C105,C105&amp;""),"KIỂM TRA ĐỊNH DẠNG"))</f>
        <v/>
      </c>
      <c r="G105" s="9">
        <f>IF(COUNTA(B105:D105)=0,"",IF(COUNTA(B105:D105)&lt;3,"THIẾU DỮ LIỆU",IF(OR(E105="KIỂM TRA ĐỊNH DẠNG",F105="KIỂM TRA ĐỊNH DẠNG",LEN(D105&amp;"")&lt;&gt;14),"KIỂM TRA ĐỊNH DẠNG",IF(AND(E105=F105,E105=D105&amp;""),"TRÙNG SỐ","LỆCH SỐ"))))</f>
        <v/>
      </c>
      <c r="H105" s="7"/>
      <c r="I105" s="7"/>
      <c r="J105" s="7"/>
      <c r="K105" s="9">
        <f>IF(COUNTA(H105:J105)=0,"",IF(COUNTA(H105:J105)&lt;3,"THIẾU DỮ LIỆU",IF(NOT(AND(AND(LEN(H105&amp;"")=10,SUMPRODUCT(--ISNUMBER(FIND(MID(H105&amp;"",ROW($1:$10),1),"0123456789")))=10),AND(LEN(I105&amp;"")=10,SUMPRODUCT(--ISNUMBER(FIND(MID(I105&amp;"",ROW($1:$10),1),"0123456789")))=10),AND(LEN(J105&amp;"")=10,SUMPRODUCT(--ISNUMBER(FIND(MID(J105&amp;"",ROW($1:$10),1),"0123456789")))=10))),"KIỂM TRA 10 CHỮ SỐ",IF(AND(H105&amp;""=I105&amp;"",H105&amp;""=J105&amp;""),"TRÙNG SỐ","LỆCH MÃ"))))</f>
        <v/>
      </c>
      <c r="L105" s="7"/>
      <c r="M105" s="7"/>
      <c r="N105" s="7"/>
      <c r="O105" s="7"/>
      <c r="P105" s="7"/>
      <c r="Q105" s="7"/>
      <c r="R105" s="7"/>
      <c r="S105" s="7"/>
      <c r="T105" s="7"/>
      <c r="U105" s="7"/>
      <c r="V105" s="7"/>
      <c r="W105" s="7"/>
      <c r="X105" s="7"/>
      <c r="Y105" s="7"/>
      <c r="Z105" s="7"/>
      <c r="AA105" s="7"/>
      <c r="AB105" s="9">
        <f>IF(A105="","",IF(SUMPRODUCT(--EXACT($A$6:$A$105,A105))&gt;1,"TRÙNG SKU: XEM LẠI",""))</f>
        <v/>
      </c>
      <c r="AC105" s="10"/>
      <c r="AD105" s="7"/>
      <c r="AE105" s="7"/>
    </row>
  </sheetData>
  <autoFilter ref="A5:AE105"/>
  <mergeCells count="2">
    <mergeCell ref="A1:AE1"/>
    <mergeCell ref="A2:AE3"/>
  </mergeCells>
  <conditionalFormatting sqref="AA6:AA105">
    <cfRule type="containsText" dxfId="0" priority="79" operator="containsText" text="Lệch">
      <formula>NOT(ISERROR(SEARCH("Lệch",AA6)))</formula>
    </cfRule>
    <cfRule type="containsText" dxfId="1" priority="80" operator="containsText" text="Thiếu">
      <formula>NOT(ISERROR(SEARCH("Thiếu",AA6)))</formula>
    </cfRule>
    <cfRule type="containsText" dxfId="0" priority="81" operator="containsText" text="Cần sửa">
      <formula>NOT(ISERROR(SEARCH("Cần sửa",AA6)))</formula>
    </cfRule>
    <cfRule type="containsText" dxfId="1" priority="82" operator="containsText" text="Chưa kiểm">
      <formula>NOT(ISERROR(SEARCH("Chưa kiểm",AA6)))</formula>
    </cfRule>
    <cfRule type="containsText" dxfId="2" priority="83" operator="containsText" text="Khớp">
      <formula>NOT(ISERROR(SEARCH("Khớp",AA6)))</formula>
    </cfRule>
    <cfRule type="containsText" dxfId="2" priority="84" operator="containsText" text="Đã kiểm tra">
      <formula>NOT(ISERROR(SEARCH("Đã kiểm tra",AA6)))</formula>
    </cfRule>
  </conditionalFormatting>
  <conditionalFormatting sqref="AB6:AB105">
    <cfRule type="containsText" dxfId="1" priority="101" operator="containsText" text="TRÙNG SKU">
      <formula>NOT(ISERROR(SEARCH("TRÙNG SKU",AB6)))</formula>
    </cfRule>
  </conditionalFormatting>
  <conditionalFormatting sqref="B6:B105">
    <cfRule type="expression" dxfId="1" priority="102">
      <formula>AND($A6&lt;&gt;"",B6="")</formula>
    </cfRule>
  </conditionalFormatting>
  <conditionalFormatting sqref="C6:C105">
    <cfRule type="expression" dxfId="1" priority="103">
      <formula>AND($A6&lt;&gt;"",C6="")</formula>
    </cfRule>
  </conditionalFormatting>
  <conditionalFormatting sqref="D6:D105">
    <cfRule type="expression" dxfId="1" priority="104">
      <formula>AND($A6&lt;&gt;"",D6="")</formula>
    </cfRule>
  </conditionalFormatting>
  <conditionalFormatting sqref="G6:G105">
    <cfRule type="containsText" dxfId="0" priority="85" operator="containsText" text="Lệch">
      <formula>NOT(ISERROR(SEARCH("Lệch",G6)))</formula>
    </cfRule>
    <cfRule type="containsText" dxfId="1" priority="86" operator="containsText" text="Thiếu">
      <formula>NOT(ISERROR(SEARCH("Thiếu",G6)))</formula>
    </cfRule>
    <cfRule type="containsText" dxfId="0" priority="87" operator="containsText" text="Cần sửa">
      <formula>NOT(ISERROR(SEARCH("Cần sửa",G6)))</formula>
    </cfRule>
    <cfRule type="containsText" dxfId="1" priority="88" operator="containsText" text="Chưa kiểm">
      <formula>NOT(ISERROR(SEARCH("Chưa kiểm",G6)))</formula>
    </cfRule>
    <cfRule type="containsText" dxfId="2" priority="89" operator="containsText" text="Khớp">
      <formula>NOT(ISERROR(SEARCH("Khớp",G6)))</formula>
    </cfRule>
    <cfRule type="containsText" dxfId="2" priority="90" operator="containsText" text="Đã kiểm tra">
      <formula>NOT(ISERROR(SEARCH("Đã kiểm tra",G6)))</formula>
    </cfRule>
    <cfRule type="containsText" dxfId="2" priority="91" operator="containsText" text="TRÙNG SỐ">
      <formula>NOT(ISERROR(SEARCH("TRÙNG SỐ",G6)))</formula>
    </cfRule>
    <cfRule type="containsText" dxfId="1" priority="92" operator="containsText" text="KIỂM TRA">
      <formula>NOT(ISERROR(SEARCH("KIỂM TRA",G6)))</formula>
    </cfRule>
  </conditionalFormatting>
  <conditionalFormatting sqref="H6:H105">
    <cfRule type="expression" dxfId="1" priority="105">
      <formula>AND($A6&lt;&gt;"",H6="")</formula>
    </cfRule>
  </conditionalFormatting>
  <conditionalFormatting sqref="I6:I105">
    <cfRule type="expression" dxfId="1" priority="106">
      <formula>AND($A6&lt;&gt;"",I6="")</formula>
    </cfRule>
  </conditionalFormatting>
  <conditionalFormatting sqref="J6:J105">
    <cfRule type="expression" dxfId="1" priority="107">
      <formula>AND($A6&lt;&gt;"",J6="")</formula>
    </cfRule>
  </conditionalFormatting>
  <conditionalFormatting sqref="K6:K105">
    <cfRule type="containsText" dxfId="0" priority="93" operator="containsText" text="Lệch">
      <formula>NOT(ISERROR(SEARCH("Lệch",K6)))</formula>
    </cfRule>
    <cfRule type="containsText" dxfId="1" priority="94" operator="containsText" text="Thiếu">
      <formula>NOT(ISERROR(SEARCH("Thiếu",K6)))</formula>
    </cfRule>
    <cfRule type="containsText" dxfId="0" priority="95" operator="containsText" text="Cần sửa">
      <formula>NOT(ISERROR(SEARCH("Cần sửa",K6)))</formula>
    </cfRule>
    <cfRule type="containsText" dxfId="1" priority="96" operator="containsText" text="Chưa kiểm">
      <formula>NOT(ISERROR(SEARCH("Chưa kiểm",K6)))</formula>
    </cfRule>
    <cfRule type="containsText" dxfId="2" priority="97" operator="containsText" text="Khớp">
      <formula>NOT(ISERROR(SEARCH("Khớp",K6)))</formula>
    </cfRule>
    <cfRule type="containsText" dxfId="2" priority="98" operator="containsText" text="Đã kiểm tra">
      <formula>NOT(ISERROR(SEARCH("Đã kiểm tra",K6)))</formula>
    </cfRule>
    <cfRule type="containsText" dxfId="2" priority="99" operator="containsText" text="TRÙNG SỐ">
      <formula>NOT(ISERROR(SEARCH("TRÙNG SỐ",K6)))</formula>
    </cfRule>
    <cfRule type="containsText" dxfId="1" priority="100" operator="containsText" text="KIỂM TRA">
      <formula>NOT(ISERROR(SEARCH("KIỂM TRA",K6)))</formula>
    </cfRule>
  </conditionalFormatting>
  <conditionalFormatting sqref="N6:N105">
    <cfRule type="containsText" dxfId="0" priority="1" operator="containsText" text="Lệch">
      <formula>NOT(ISERROR(SEARCH("Lệch",N6)))</formula>
    </cfRule>
    <cfRule type="containsText" dxfId="1" priority="2" operator="containsText" text="Thiếu">
      <formula>NOT(ISERROR(SEARCH("Thiếu",N6)))</formula>
    </cfRule>
    <cfRule type="containsText" dxfId="0" priority="3" operator="containsText" text="Cần sửa">
      <formula>NOT(ISERROR(SEARCH("Cần sửa",N6)))</formula>
    </cfRule>
    <cfRule type="containsText" dxfId="1" priority="4" operator="containsText" text="Chưa kiểm">
      <formula>NOT(ISERROR(SEARCH("Chưa kiểm",N6)))</formula>
    </cfRule>
    <cfRule type="containsText" dxfId="2" priority="5" operator="containsText" text="Khớp">
      <formula>NOT(ISERROR(SEARCH("Khớp",N6)))</formula>
    </cfRule>
    <cfRule type="containsText" dxfId="2" priority="6" operator="containsText" text="Đã kiểm tra">
      <formula>NOT(ISERROR(SEARCH("Đã kiểm tra",N6)))</formula>
    </cfRule>
  </conditionalFormatting>
  <conditionalFormatting sqref="O6:O105">
    <cfRule type="containsText" dxfId="0" priority="7" operator="containsText" text="Lệch">
      <formula>NOT(ISERROR(SEARCH("Lệch",O6)))</formula>
    </cfRule>
    <cfRule type="containsText" dxfId="1" priority="8" operator="containsText" text="Thiếu">
      <formula>NOT(ISERROR(SEARCH("Thiếu",O6)))</formula>
    </cfRule>
    <cfRule type="containsText" dxfId="0" priority="9" operator="containsText" text="Cần sửa">
      <formula>NOT(ISERROR(SEARCH("Cần sửa",O6)))</formula>
    </cfRule>
    <cfRule type="containsText" dxfId="1" priority="10" operator="containsText" text="Chưa kiểm">
      <formula>NOT(ISERROR(SEARCH("Chưa kiểm",O6)))</formula>
    </cfRule>
    <cfRule type="containsText" dxfId="2" priority="11" operator="containsText" text="Khớp">
      <formula>NOT(ISERROR(SEARCH("Khớp",O6)))</formula>
    </cfRule>
    <cfRule type="containsText" dxfId="2" priority="12" operator="containsText" text="Đã kiểm tra">
      <formula>NOT(ISERROR(SEARCH("Đã kiểm tra",O6)))</formula>
    </cfRule>
  </conditionalFormatting>
  <conditionalFormatting sqref="P6:P105">
    <cfRule type="containsText" dxfId="0" priority="13" operator="containsText" text="Lệch">
      <formula>NOT(ISERROR(SEARCH("Lệch",P6)))</formula>
    </cfRule>
    <cfRule type="containsText" dxfId="1" priority="14" operator="containsText" text="Thiếu">
      <formula>NOT(ISERROR(SEARCH("Thiếu",P6)))</formula>
    </cfRule>
    <cfRule type="containsText" dxfId="0" priority="15" operator="containsText" text="Cần sửa">
      <formula>NOT(ISERROR(SEARCH("Cần sửa",P6)))</formula>
    </cfRule>
    <cfRule type="containsText" dxfId="1" priority="16" operator="containsText" text="Chưa kiểm">
      <formula>NOT(ISERROR(SEARCH("Chưa kiểm",P6)))</formula>
    </cfRule>
    <cfRule type="containsText" dxfId="2" priority="17" operator="containsText" text="Khớp">
      <formula>NOT(ISERROR(SEARCH("Khớp",P6)))</formula>
    </cfRule>
    <cfRule type="containsText" dxfId="2" priority="18" operator="containsText" text="Đã kiểm tra">
      <formula>NOT(ISERROR(SEARCH("Đã kiểm tra",P6)))</formula>
    </cfRule>
  </conditionalFormatting>
  <conditionalFormatting sqref="Q6:Q105">
    <cfRule type="containsText" dxfId="0" priority="19" operator="containsText" text="Lệch">
      <formula>NOT(ISERROR(SEARCH("Lệch",Q6)))</formula>
    </cfRule>
    <cfRule type="containsText" dxfId="1" priority="20" operator="containsText" text="Thiếu">
      <formula>NOT(ISERROR(SEARCH("Thiếu",Q6)))</formula>
    </cfRule>
    <cfRule type="containsText" dxfId="0" priority="21" operator="containsText" text="Cần sửa">
      <formula>NOT(ISERROR(SEARCH("Cần sửa",Q6)))</formula>
    </cfRule>
    <cfRule type="containsText" dxfId="1" priority="22" operator="containsText" text="Chưa kiểm">
      <formula>NOT(ISERROR(SEARCH("Chưa kiểm",Q6)))</formula>
    </cfRule>
    <cfRule type="containsText" dxfId="2" priority="23" operator="containsText" text="Khớp">
      <formula>NOT(ISERROR(SEARCH("Khớp",Q6)))</formula>
    </cfRule>
    <cfRule type="containsText" dxfId="2" priority="24" operator="containsText" text="Đã kiểm tra">
      <formula>NOT(ISERROR(SEARCH("Đã kiểm tra",Q6)))</formula>
    </cfRule>
  </conditionalFormatting>
  <conditionalFormatting sqref="R6:R105">
    <cfRule type="containsText" dxfId="0" priority="25" operator="containsText" text="Lệch">
      <formula>NOT(ISERROR(SEARCH("Lệch",R6)))</formula>
    </cfRule>
    <cfRule type="containsText" dxfId="1" priority="26" operator="containsText" text="Thiếu">
      <formula>NOT(ISERROR(SEARCH("Thiếu",R6)))</formula>
    </cfRule>
    <cfRule type="containsText" dxfId="0" priority="27" operator="containsText" text="Cần sửa">
      <formula>NOT(ISERROR(SEARCH("Cần sửa",R6)))</formula>
    </cfRule>
    <cfRule type="containsText" dxfId="1" priority="28" operator="containsText" text="Chưa kiểm">
      <formula>NOT(ISERROR(SEARCH("Chưa kiểm",R6)))</formula>
    </cfRule>
    <cfRule type="containsText" dxfId="2" priority="29" operator="containsText" text="Khớp">
      <formula>NOT(ISERROR(SEARCH("Khớp",R6)))</formula>
    </cfRule>
    <cfRule type="containsText" dxfId="2" priority="30" operator="containsText" text="Đã kiểm tra">
      <formula>NOT(ISERROR(SEARCH("Đã kiểm tra",R6)))</formula>
    </cfRule>
  </conditionalFormatting>
  <conditionalFormatting sqref="S6:S105">
    <cfRule type="containsText" dxfId="0" priority="31" operator="containsText" text="Lệch">
      <formula>NOT(ISERROR(SEARCH("Lệch",S6)))</formula>
    </cfRule>
    <cfRule type="containsText" dxfId="1" priority="32" operator="containsText" text="Thiếu">
      <formula>NOT(ISERROR(SEARCH("Thiếu",S6)))</formula>
    </cfRule>
    <cfRule type="containsText" dxfId="0" priority="33" operator="containsText" text="Cần sửa">
      <formula>NOT(ISERROR(SEARCH("Cần sửa",S6)))</formula>
    </cfRule>
    <cfRule type="containsText" dxfId="1" priority="34" operator="containsText" text="Chưa kiểm">
      <formula>NOT(ISERROR(SEARCH("Chưa kiểm",S6)))</formula>
    </cfRule>
    <cfRule type="containsText" dxfId="2" priority="35" operator="containsText" text="Khớp">
      <formula>NOT(ISERROR(SEARCH("Khớp",S6)))</formula>
    </cfRule>
    <cfRule type="containsText" dxfId="2" priority="36" operator="containsText" text="Đã kiểm tra">
      <formula>NOT(ISERROR(SEARCH("Đã kiểm tra",S6)))</formula>
    </cfRule>
  </conditionalFormatting>
  <conditionalFormatting sqref="T6:T105">
    <cfRule type="containsText" dxfId="0" priority="37" operator="containsText" text="Lệch">
      <formula>NOT(ISERROR(SEARCH("Lệch",T6)))</formula>
    </cfRule>
    <cfRule type="containsText" dxfId="1" priority="38" operator="containsText" text="Thiếu">
      <formula>NOT(ISERROR(SEARCH("Thiếu",T6)))</formula>
    </cfRule>
    <cfRule type="containsText" dxfId="0" priority="39" operator="containsText" text="Cần sửa">
      <formula>NOT(ISERROR(SEARCH("Cần sửa",T6)))</formula>
    </cfRule>
    <cfRule type="containsText" dxfId="1" priority="40" operator="containsText" text="Chưa kiểm">
      <formula>NOT(ISERROR(SEARCH("Chưa kiểm",T6)))</formula>
    </cfRule>
    <cfRule type="containsText" dxfId="2" priority="41" operator="containsText" text="Khớp">
      <formula>NOT(ISERROR(SEARCH("Khớp",T6)))</formula>
    </cfRule>
    <cfRule type="containsText" dxfId="2" priority="42" operator="containsText" text="Đã kiểm tra">
      <formula>NOT(ISERROR(SEARCH("Đã kiểm tra",T6)))</formula>
    </cfRule>
  </conditionalFormatting>
  <conditionalFormatting sqref="U6:U105">
    <cfRule type="containsText" dxfId="0" priority="43" operator="containsText" text="Lệch">
      <formula>NOT(ISERROR(SEARCH("Lệch",U6)))</formula>
    </cfRule>
    <cfRule type="containsText" dxfId="1" priority="44" operator="containsText" text="Thiếu">
      <formula>NOT(ISERROR(SEARCH("Thiếu",U6)))</formula>
    </cfRule>
    <cfRule type="containsText" dxfId="0" priority="45" operator="containsText" text="Cần sửa">
      <formula>NOT(ISERROR(SEARCH("Cần sửa",U6)))</formula>
    </cfRule>
    <cfRule type="containsText" dxfId="1" priority="46" operator="containsText" text="Chưa kiểm">
      <formula>NOT(ISERROR(SEARCH("Chưa kiểm",U6)))</formula>
    </cfRule>
    <cfRule type="containsText" dxfId="2" priority="47" operator="containsText" text="Khớp">
      <formula>NOT(ISERROR(SEARCH("Khớp",U6)))</formula>
    </cfRule>
    <cfRule type="containsText" dxfId="2" priority="48" operator="containsText" text="Đã kiểm tra">
      <formula>NOT(ISERROR(SEARCH("Đã kiểm tra",U6)))</formula>
    </cfRule>
  </conditionalFormatting>
  <conditionalFormatting sqref="V6:V105">
    <cfRule type="containsText" dxfId="0" priority="49" operator="containsText" text="Lệch">
      <formula>NOT(ISERROR(SEARCH("Lệch",V6)))</formula>
    </cfRule>
    <cfRule type="containsText" dxfId="1" priority="50" operator="containsText" text="Thiếu">
      <formula>NOT(ISERROR(SEARCH("Thiếu",V6)))</formula>
    </cfRule>
    <cfRule type="containsText" dxfId="0" priority="51" operator="containsText" text="Cần sửa">
      <formula>NOT(ISERROR(SEARCH("Cần sửa",V6)))</formula>
    </cfRule>
    <cfRule type="containsText" dxfId="1" priority="52" operator="containsText" text="Chưa kiểm">
      <formula>NOT(ISERROR(SEARCH("Chưa kiểm",V6)))</formula>
    </cfRule>
    <cfRule type="containsText" dxfId="2" priority="53" operator="containsText" text="Khớp">
      <formula>NOT(ISERROR(SEARCH("Khớp",V6)))</formula>
    </cfRule>
    <cfRule type="containsText" dxfId="2" priority="54" operator="containsText" text="Đã kiểm tra">
      <formula>NOT(ISERROR(SEARCH("Đã kiểm tra",V6)))</formula>
    </cfRule>
  </conditionalFormatting>
  <conditionalFormatting sqref="W6:W105">
    <cfRule type="containsText" dxfId="0" priority="55" operator="containsText" text="Lệch">
      <formula>NOT(ISERROR(SEARCH("Lệch",W6)))</formula>
    </cfRule>
    <cfRule type="containsText" dxfId="1" priority="56" operator="containsText" text="Thiếu">
      <formula>NOT(ISERROR(SEARCH("Thiếu",W6)))</formula>
    </cfRule>
    <cfRule type="containsText" dxfId="0" priority="57" operator="containsText" text="Cần sửa">
      <formula>NOT(ISERROR(SEARCH("Cần sửa",W6)))</formula>
    </cfRule>
    <cfRule type="containsText" dxfId="1" priority="58" operator="containsText" text="Chưa kiểm">
      <formula>NOT(ISERROR(SEARCH("Chưa kiểm",W6)))</formula>
    </cfRule>
    <cfRule type="containsText" dxfId="2" priority="59" operator="containsText" text="Khớp">
      <formula>NOT(ISERROR(SEARCH("Khớp",W6)))</formula>
    </cfRule>
    <cfRule type="containsText" dxfId="2" priority="60" operator="containsText" text="Đã kiểm tra">
      <formula>NOT(ISERROR(SEARCH("Đã kiểm tra",W6)))</formula>
    </cfRule>
  </conditionalFormatting>
  <conditionalFormatting sqref="X6:X105">
    <cfRule type="containsText" dxfId="0" priority="61" operator="containsText" text="Lệch">
      <formula>NOT(ISERROR(SEARCH("Lệch",X6)))</formula>
    </cfRule>
    <cfRule type="containsText" dxfId="1" priority="62" operator="containsText" text="Thiếu">
      <formula>NOT(ISERROR(SEARCH("Thiếu",X6)))</formula>
    </cfRule>
    <cfRule type="containsText" dxfId="0" priority="63" operator="containsText" text="Cần sửa">
      <formula>NOT(ISERROR(SEARCH("Cần sửa",X6)))</formula>
    </cfRule>
    <cfRule type="containsText" dxfId="1" priority="64" operator="containsText" text="Chưa kiểm">
      <formula>NOT(ISERROR(SEARCH("Chưa kiểm",X6)))</formula>
    </cfRule>
    <cfRule type="containsText" dxfId="2" priority="65" operator="containsText" text="Khớp">
      <formula>NOT(ISERROR(SEARCH("Khớp",X6)))</formula>
    </cfRule>
    <cfRule type="containsText" dxfId="2" priority="66" operator="containsText" text="Đã kiểm tra">
      <formula>NOT(ISERROR(SEARCH("Đã kiểm tra",X6)))</formula>
    </cfRule>
  </conditionalFormatting>
  <conditionalFormatting sqref="Y6:Y105">
    <cfRule type="containsText" dxfId="0" priority="67" operator="containsText" text="Lệch">
      <formula>NOT(ISERROR(SEARCH("Lệch",Y6)))</formula>
    </cfRule>
    <cfRule type="containsText" dxfId="1" priority="68" operator="containsText" text="Thiếu">
      <formula>NOT(ISERROR(SEARCH("Thiếu",Y6)))</formula>
    </cfRule>
    <cfRule type="containsText" dxfId="0" priority="69" operator="containsText" text="Cần sửa">
      <formula>NOT(ISERROR(SEARCH("Cần sửa",Y6)))</formula>
    </cfRule>
    <cfRule type="containsText" dxfId="1" priority="70" operator="containsText" text="Chưa kiểm">
      <formula>NOT(ISERROR(SEARCH("Chưa kiểm",Y6)))</formula>
    </cfRule>
    <cfRule type="containsText" dxfId="2" priority="71" operator="containsText" text="Khớp">
      <formula>NOT(ISERROR(SEARCH("Khớp",Y6)))</formula>
    </cfRule>
    <cfRule type="containsText" dxfId="2" priority="72" operator="containsText" text="Đã kiểm tra">
      <formula>NOT(ISERROR(SEARCH("Đã kiểm tra",Y6)))</formula>
    </cfRule>
  </conditionalFormatting>
  <conditionalFormatting sqref="Z6:Z105">
    <cfRule type="containsText" dxfId="0" priority="73" operator="containsText" text="Lệch">
      <formula>NOT(ISERROR(SEARCH("Lệch",Z6)))</formula>
    </cfRule>
    <cfRule type="containsText" dxfId="1" priority="74" operator="containsText" text="Thiếu">
      <formula>NOT(ISERROR(SEARCH("Thiếu",Z6)))</formula>
    </cfRule>
    <cfRule type="containsText" dxfId="0" priority="75" operator="containsText" text="Cần sửa">
      <formula>NOT(ISERROR(SEARCH("Cần sửa",Z6)))</formula>
    </cfRule>
    <cfRule type="containsText" dxfId="1" priority="76" operator="containsText" text="Chưa kiểm">
      <formula>NOT(ISERROR(SEARCH("Chưa kiểm",Z6)))</formula>
    </cfRule>
    <cfRule type="containsText" dxfId="2" priority="77" operator="containsText" text="Khớp">
      <formula>NOT(ISERROR(SEARCH("Khớp",Z6)))</formula>
    </cfRule>
    <cfRule type="containsText" dxfId="2" priority="78" operator="containsText" text="Đã kiểm tra">
      <formula>NOT(ISERROR(SEARCH("Đã kiểm tra",Z6)))</formula>
    </cfRule>
  </conditionalFormatting>
  <dataValidations count="14">
    <dataValidation type="list" allowBlank="1" showInputMessage="1" showErrorMessage="1" errorTitle="Chọn trong danh sách" error="Dùng một giá trị trong danh sách." promptTitle="Chọn trạng thái" prompt="Chọn theo kết quả kiểm tra thực tế." sqref="N6:N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O6:O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P6:P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Q6:Q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R6:R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S6:S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T6:T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U6:U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V6:V105">
      <formula1>"Chưa kiểm,Khớp,Lệch,Không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W6:W105">
      <formula1>"Chưa kiểm,Có, đã đối chiếu,Thiếu,Không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X6:X105">
      <formula1>"Chưa kiểm,Có, đã đối chiếu,Thiếu,Không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Y6:Y105">
      <formula1>"Chưa kiểm,Đã kiểm tra,Cần sửa,Không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Z6:Z105">
      <formula1>"Chưa kiểm,Đã kiểm tra,Cần sửa,Không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AA6:AA105">
      <formula1>"Chưa kiểm,Đã kiểm tra,Cần sửa,Không áp dụng"</formula1>
    </dataValidation>
  </dataValidations>
  <pageMargins left="0.3" right="0.3" top="0.4" bottom="0.4" header="0.3" footer="0.3"/>
  <pageSetup paperSize="9" fitToHeight="0" orientation="landscape"/>
  <headerFooter>
    <oddFooter>&amp;LWB • GTIN • TN VED | Mẫu nội bộ&amp;C06/10/2026&amp;RTrang &amp;P / &amp;N</oddFooter>
  </headerFooter>
  <legacyDrawing r:id="rId1"/>
</worksheet>
</file>

<file path=xl/worksheets/sheet4.xml><?xml version="1.0" encoding="utf-8"?>
<worksheet xmlns="http://schemas.openxmlformats.org/spreadsheetml/2006/main" xmlns:r="http://schemas.openxmlformats.org/officeDocument/2006/relationships">
  <sheetPr>
    <tabColor rgb="FF087E8B"/>
    <pageSetUpPr fitToPage="1"/>
  </sheetPr>
  <dimension ref="A1:AB1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2.7109375" customWidth="1"/>
    <col min="2" max="2" width="30.7109375" customWidth="1"/>
    <col min="3" max="4" width="22.7109375" customWidth="1"/>
    <col min="5" max="5" width="40.7109375" customWidth="1"/>
    <col min="6" max="6" width="55.7109375" customWidth="1"/>
    <col min="7" max="11" width="22.7109375" customWidth="1"/>
    <col min="12" max="12" width="40.7109375" customWidth="1"/>
    <col min="13" max="13" width="22.7109375" customWidth="1"/>
    <col min="14" max="14" width="40.7109375" customWidth="1"/>
    <col min="15" max="16" width="22.7109375" customWidth="1"/>
    <col min="17" max="17" width="40.7109375" customWidth="1"/>
    <col min="18" max="21" width="22.7109375" customWidth="1"/>
    <col min="22" max="22" width="45.7109375" customWidth="1"/>
    <col min="23" max="26" width="22.7109375" customWidth="1"/>
    <col min="27" max="27" width="55.7109375" customWidth="1"/>
    <col min="28" max="28" width="36.7109375" customWidth="1"/>
  </cols>
  <sheetData>
    <row r="1" spans="1:28" ht="34" customHeight="1">
      <c r="A1" s="1" t="s">
        <v>126</v>
      </c>
      <c r="B1" s="1"/>
      <c r="C1" s="1"/>
      <c r="D1" s="1"/>
      <c r="E1" s="1"/>
      <c r="F1" s="1"/>
      <c r="G1" s="1"/>
      <c r="H1" s="1"/>
      <c r="I1" s="1"/>
      <c r="J1" s="1"/>
      <c r="K1" s="1"/>
      <c r="L1" s="1"/>
      <c r="M1" s="1"/>
      <c r="N1" s="1"/>
      <c r="O1" s="1"/>
      <c r="P1" s="1"/>
      <c r="Q1" s="1"/>
      <c r="R1" s="1"/>
      <c r="S1" s="1"/>
      <c r="T1" s="1"/>
      <c r="U1" s="1"/>
      <c r="V1" s="1"/>
      <c r="W1" s="1"/>
      <c r="X1" s="1"/>
      <c r="Y1" s="1"/>
      <c r="Z1" s="1"/>
      <c r="AA1" s="1"/>
      <c r="AB1" s="1"/>
    </row>
    <row r="2" spans="1:28" ht="25" customHeight="1">
      <c r="A2" s="2" t="s">
        <v>127</v>
      </c>
      <c r="B2" s="2"/>
      <c r="C2" s="2"/>
      <c r="D2" s="2"/>
      <c r="E2" s="2"/>
      <c r="F2" s="2"/>
      <c r="G2" s="2"/>
      <c r="H2" s="2"/>
      <c r="I2" s="2"/>
      <c r="J2" s="2"/>
      <c r="K2" s="2"/>
      <c r="L2" s="2"/>
      <c r="M2" s="2"/>
      <c r="N2" s="2"/>
      <c r="O2" s="2"/>
      <c r="P2" s="2"/>
      <c r="Q2" s="2"/>
      <c r="R2" s="2"/>
      <c r="S2" s="2"/>
      <c r="T2" s="2"/>
      <c r="U2" s="2"/>
      <c r="V2" s="2"/>
      <c r="W2" s="2"/>
      <c r="X2" s="2"/>
      <c r="Y2" s="2"/>
      <c r="Z2" s="2"/>
      <c r="AA2" s="2"/>
      <c r="AB2" s="2"/>
    </row>
    <row r="3" spans="1:28" ht="25" customHeight="1">
      <c r="A3" s="2"/>
      <c r="B3" s="2"/>
      <c r="C3" s="2"/>
      <c r="D3" s="2"/>
      <c r="E3" s="2"/>
      <c r="F3" s="2"/>
      <c r="G3" s="2"/>
      <c r="H3" s="2"/>
      <c r="I3" s="2"/>
      <c r="J3" s="2"/>
      <c r="K3" s="2"/>
      <c r="L3" s="2"/>
      <c r="M3" s="2"/>
      <c r="N3" s="2"/>
      <c r="O3" s="2"/>
      <c r="P3" s="2"/>
      <c r="Q3" s="2"/>
      <c r="R3" s="2"/>
      <c r="S3" s="2"/>
      <c r="T3" s="2"/>
      <c r="U3" s="2"/>
      <c r="V3" s="2"/>
      <c r="W3" s="2"/>
      <c r="X3" s="2"/>
      <c r="Y3" s="2"/>
      <c r="Z3" s="2"/>
      <c r="AA3" s="2"/>
      <c r="AB3" s="2"/>
    </row>
    <row r="5" spans="1:28" ht="62" customHeight="1">
      <c r="A5" s="6" t="s">
        <v>128</v>
      </c>
      <c r="B5" s="6" t="s">
        <v>129</v>
      </c>
      <c r="C5" s="6" t="s">
        <v>130</v>
      </c>
      <c r="D5" s="6" t="s">
        <v>131</v>
      </c>
      <c r="E5" s="6" t="s">
        <v>132</v>
      </c>
      <c r="F5" s="6" t="s">
        <v>133</v>
      </c>
      <c r="G5" s="6" t="s">
        <v>134</v>
      </c>
      <c r="H5" s="6" t="s">
        <v>135</v>
      </c>
      <c r="I5" s="6" t="s">
        <v>136</v>
      </c>
      <c r="J5" s="6" t="s">
        <v>137</v>
      </c>
      <c r="K5" s="6" t="s">
        <v>138</v>
      </c>
      <c r="L5" s="6" t="s">
        <v>139</v>
      </c>
      <c r="M5" s="6" t="s">
        <v>140</v>
      </c>
      <c r="N5" s="6" t="s">
        <v>141</v>
      </c>
      <c r="O5" s="6" t="s">
        <v>142</v>
      </c>
      <c r="P5" s="6" t="s">
        <v>143</v>
      </c>
      <c r="Q5" s="6" t="s">
        <v>144</v>
      </c>
      <c r="R5" s="6" t="s">
        <v>145</v>
      </c>
      <c r="S5" s="6" t="s">
        <v>146</v>
      </c>
      <c r="T5" s="6" t="s">
        <v>147</v>
      </c>
      <c r="U5" s="6" t="s">
        <v>148</v>
      </c>
      <c r="V5" s="6" t="s">
        <v>149</v>
      </c>
      <c r="W5" s="6" t="s">
        <v>150</v>
      </c>
      <c r="X5" s="6" t="s">
        <v>151</v>
      </c>
      <c r="Y5" s="6" t="s">
        <v>124</v>
      </c>
      <c r="Z5" s="6" t="s">
        <v>123</v>
      </c>
      <c r="AA5" s="6" t="s">
        <v>152</v>
      </c>
      <c r="AB5" s="6" t="s">
        <v>153</v>
      </c>
    </row>
    <row r="6" spans="1:28" ht="32" customHeight="1">
      <c r="A6" s="7"/>
      <c r="B6" s="7"/>
      <c r="C6" s="7"/>
      <c r="D6" s="7"/>
      <c r="E6" s="7"/>
      <c r="F6" s="7"/>
      <c r="G6" s="7"/>
      <c r="H6" s="7"/>
      <c r="I6" s="10"/>
      <c r="J6" s="10"/>
      <c r="K6" s="7"/>
      <c r="L6" s="7"/>
      <c r="M6" s="7"/>
      <c r="N6" s="7"/>
      <c r="O6" s="7"/>
      <c r="P6" s="7"/>
      <c r="Q6" s="7"/>
      <c r="R6" s="7"/>
      <c r="S6" s="7"/>
      <c r="T6" s="7"/>
      <c r="U6" s="10"/>
      <c r="V6" s="7"/>
      <c r="W6" s="7"/>
      <c r="X6" s="7"/>
      <c r="Y6" s="7"/>
      <c r="Z6" s="10"/>
      <c r="AA6" s="7"/>
      <c r="AB6" s="7"/>
    </row>
    <row r="7" spans="1:28" ht="32" customHeight="1">
      <c r="A7" s="7"/>
      <c r="B7" s="7"/>
      <c r="C7" s="7"/>
      <c r="D7" s="7"/>
      <c r="E7" s="7"/>
      <c r="F7" s="7"/>
      <c r="G7" s="7"/>
      <c r="H7" s="7"/>
      <c r="I7" s="10"/>
      <c r="J7" s="10"/>
      <c r="K7" s="7"/>
      <c r="L7" s="7"/>
      <c r="M7" s="7"/>
      <c r="N7" s="7"/>
      <c r="O7" s="7"/>
      <c r="P7" s="7"/>
      <c r="Q7" s="7"/>
      <c r="R7" s="7"/>
      <c r="S7" s="7"/>
      <c r="T7" s="7"/>
      <c r="U7" s="10"/>
      <c r="V7" s="7"/>
      <c r="W7" s="7"/>
      <c r="X7" s="7"/>
      <c r="Y7" s="7"/>
      <c r="Z7" s="10"/>
      <c r="AA7" s="7"/>
      <c r="AB7" s="7"/>
    </row>
    <row r="8" spans="1:28" ht="32" customHeight="1">
      <c r="A8" s="7"/>
      <c r="B8" s="7"/>
      <c r="C8" s="7"/>
      <c r="D8" s="7"/>
      <c r="E8" s="7"/>
      <c r="F8" s="7"/>
      <c r="G8" s="7"/>
      <c r="H8" s="7"/>
      <c r="I8" s="10"/>
      <c r="J8" s="10"/>
      <c r="K8" s="7"/>
      <c r="L8" s="7"/>
      <c r="M8" s="7"/>
      <c r="N8" s="7"/>
      <c r="O8" s="7"/>
      <c r="P8" s="7"/>
      <c r="Q8" s="7"/>
      <c r="R8" s="7"/>
      <c r="S8" s="7"/>
      <c r="T8" s="7"/>
      <c r="U8" s="10"/>
      <c r="V8" s="7"/>
      <c r="W8" s="7"/>
      <c r="X8" s="7"/>
      <c r="Y8" s="7"/>
      <c r="Z8" s="10"/>
      <c r="AA8" s="7"/>
      <c r="AB8" s="7"/>
    </row>
    <row r="9" spans="1:28" ht="32" customHeight="1">
      <c r="A9" s="7"/>
      <c r="B9" s="7"/>
      <c r="C9" s="7"/>
      <c r="D9" s="7"/>
      <c r="E9" s="7"/>
      <c r="F9" s="7"/>
      <c r="G9" s="7"/>
      <c r="H9" s="7"/>
      <c r="I9" s="10"/>
      <c r="J9" s="10"/>
      <c r="K9" s="7"/>
      <c r="L9" s="7"/>
      <c r="M9" s="7"/>
      <c r="N9" s="7"/>
      <c r="O9" s="7"/>
      <c r="P9" s="7"/>
      <c r="Q9" s="7"/>
      <c r="R9" s="7"/>
      <c r="S9" s="7"/>
      <c r="T9" s="7"/>
      <c r="U9" s="10"/>
      <c r="V9" s="7"/>
      <c r="W9" s="7"/>
      <c r="X9" s="7"/>
      <c r="Y9" s="7"/>
      <c r="Z9" s="10"/>
      <c r="AA9" s="7"/>
      <c r="AB9" s="7"/>
    </row>
    <row r="10" spans="1:28" ht="32" customHeight="1">
      <c r="A10" s="7"/>
      <c r="B10" s="7"/>
      <c r="C10" s="7"/>
      <c r="D10" s="7"/>
      <c r="E10" s="7"/>
      <c r="F10" s="7"/>
      <c r="G10" s="7"/>
      <c r="H10" s="7"/>
      <c r="I10" s="10"/>
      <c r="J10" s="10"/>
      <c r="K10" s="7"/>
      <c r="L10" s="7"/>
      <c r="M10" s="7"/>
      <c r="N10" s="7"/>
      <c r="O10" s="7"/>
      <c r="P10" s="7"/>
      <c r="Q10" s="7"/>
      <c r="R10" s="7"/>
      <c r="S10" s="7"/>
      <c r="T10" s="7"/>
      <c r="U10" s="10"/>
      <c r="V10" s="7"/>
      <c r="W10" s="7"/>
      <c r="X10" s="7"/>
      <c r="Y10" s="7"/>
      <c r="Z10" s="10"/>
      <c r="AA10" s="7"/>
      <c r="AB10" s="7"/>
    </row>
    <row r="11" spans="1:28" ht="32" customHeight="1">
      <c r="A11" s="7"/>
      <c r="B11" s="7"/>
      <c r="C11" s="7"/>
      <c r="D11" s="7"/>
      <c r="E11" s="7"/>
      <c r="F11" s="7"/>
      <c r="G11" s="7"/>
      <c r="H11" s="7"/>
      <c r="I11" s="10"/>
      <c r="J11" s="10"/>
      <c r="K11" s="7"/>
      <c r="L11" s="7"/>
      <c r="M11" s="7"/>
      <c r="N11" s="7"/>
      <c r="O11" s="7"/>
      <c r="P11" s="7"/>
      <c r="Q11" s="7"/>
      <c r="R11" s="7"/>
      <c r="S11" s="7"/>
      <c r="T11" s="7"/>
      <c r="U11" s="10"/>
      <c r="V11" s="7"/>
      <c r="W11" s="7"/>
      <c r="X11" s="7"/>
      <c r="Y11" s="7"/>
      <c r="Z11" s="10"/>
      <c r="AA11" s="7"/>
      <c r="AB11" s="7"/>
    </row>
    <row r="12" spans="1:28" ht="32" customHeight="1">
      <c r="A12" s="7"/>
      <c r="B12" s="7"/>
      <c r="C12" s="7"/>
      <c r="D12" s="7"/>
      <c r="E12" s="7"/>
      <c r="F12" s="7"/>
      <c r="G12" s="7"/>
      <c r="H12" s="7"/>
      <c r="I12" s="10"/>
      <c r="J12" s="10"/>
      <c r="K12" s="7"/>
      <c r="L12" s="7"/>
      <c r="M12" s="7"/>
      <c r="N12" s="7"/>
      <c r="O12" s="7"/>
      <c r="P12" s="7"/>
      <c r="Q12" s="7"/>
      <c r="R12" s="7"/>
      <c r="S12" s="7"/>
      <c r="T12" s="7"/>
      <c r="U12" s="10"/>
      <c r="V12" s="7"/>
      <c r="W12" s="7"/>
      <c r="X12" s="7"/>
      <c r="Y12" s="7"/>
      <c r="Z12" s="10"/>
      <c r="AA12" s="7"/>
      <c r="AB12" s="7"/>
    </row>
    <row r="13" spans="1:28" ht="32" customHeight="1">
      <c r="A13" s="7"/>
      <c r="B13" s="7"/>
      <c r="C13" s="7"/>
      <c r="D13" s="7"/>
      <c r="E13" s="7"/>
      <c r="F13" s="7"/>
      <c r="G13" s="7"/>
      <c r="H13" s="7"/>
      <c r="I13" s="10"/>
      <c r="J13" s="10"/>
      <c r="K13" s="7"/>
      <c r="L13" s="7"/>
      <c r="M13" s="7"/>
      <c r="N13" s="7"/>
      <c r="O13" s="7"/>
      <c r="P13" s="7"/>
      <c r="Q13" s="7"/>
      <c r="R13" s="7"/>
      <c r="S13" s="7"/>
      <c r="T13" s="7"/>
      <c r="U13" s="10"/>
      <c r="V13" s="7"/>
      <c r="W13" s="7"/>
      <c r="X13" s="7"/>
      <c r="Y13" s="7"/>
      <c r="Z13" s="10"/>
      <c r="AA13" s="7"/>
      <c r="AB13" s="7"/>
    </row>
    <row r="14" spans="1:28" ht="32" customHeight="1">
      <c r="A14" s="7"/>
      <c r="B14" s="7"/>
      <c r="C14" s="7"/>
      <c r="D14" s="7"/>
      <c r="E14" s="7"/>
      <c r="F14" s="7"/>
      <c r="G14" s="7"/>
      <c r="H14" s="7"/>
      <c r="I14" s="10"/>
      <c r="J14" s="10"/>
      <c r="K14" s="7"/>
      <c r="L14" s="7"/>
      <c r="M14" s="7"/>
      <c r="N14" s="7"/>
      <c r="O14" s="7"/>
      <c r="P14" s="7"/>
      <c r="Q14" s="7"/>
      <c r="R14" s="7"/>
      <c r="S14" s="7"/>
      <c r="T14" s="7"/>
      <c r="U14" s="10"/>
      <c r="V14" s="7"/>
      <c r="W14" s="7"/>
      <c r="X14" s="7"/>
      <c r="Y14" s="7"/>
      <c r="Z14" s="10"/>
      <c r="AA14" s="7"/>
      <c r="AB14" s="7"/>
    </row>
    <row r="15" spans="1:28" ht="32" customHeight="1">
      <c r="A15" s="7"/>
      <c r="B15" s="7"/>
      <c r="C15" s="7"/>
      <c r="D15" s="7"/>
      <c r="E15" s="7"/>
      <c r="F15" s="7"/>
      <c r="G15" s="7"/>
      <c r="H15" s="7"/>
      <c r="I15" s="10"/>
      <c r="J15" s="10"/>
      <c r="K15" s="7"/>
      <c r="L15" s="7"/>
      <c r="M15" s="7"/>
      <c r="N15" s="7"/>
      <c r="O15" s="7"/>
      <c r="P15" s="7"/>
      <c r="Q15" s="7"/>
      <c r="R15" s="7"/>
      <c r="S15" s="7"/>
      <c r="T15" s="7"/>
      <c r="U15" s="10"/>
      <c r="V15" s="7"/>
      <c r="W15" s="7"/>
      <c r="X15" s="7"/>
      <c r="Y15" s="7"/>
      <c r="Z15" s="10"/>
      <c r="AA15" s="7"/>
      <c r="AB15" s="7"/>
    </row>
    <row r="16" spans="1:28" ht="32" customHeight="1">
      <c r="A16" s="7"/>
      <c r="B16" s="7"/>
      <c r="C16" s="7"/>
      <c r="D16" s="7"/>
      <c r="E16" s="7"/>
      <c r="F16" s="7"/>
      <c r="G16" s="7"/>
      <c r="H16" s="7"/>
      <c r="I16" s="10"/>
      <c r="J16" s="10"/>
      <c r="K16" s="7"/>
      <c r="L16" s="7"/>
      <c r="M16" s="7"/>
      <c r="N16" s="7"/>
      <c r="O16" s="7"/>
      <c r="P16" s="7"/>
      <c r="Q16" s="7"/>
      <c r="R16" s="7"/>
      <c r="S16" s="7"/>
      <c r="T16" s="7"/>
      <c r="U16" s="10"/>
      <c r="V16" s="7"/>
      <c r="W16" s="7"/>
      <c r="X16" s="7"/>
      <c r="Y16" s="7"/>
      <c r="Z16" s="10"/>
      <c r="AA16" s="7"/>
      <c r="AB16" s="7"/>
    </row>
    <row r="17" spans="1:28" ht="32" customHeight="1">
      <c r="A17" s="7"/>
      <c r="B17" s="7"/>
      <c r="C17" s="7"/>
      <c r="D17" s="7"/>
      <c r="E17" s="7"/>
      <c r="F17" s="7"/>
      <c r="G17" s="7"/>
      <c r="H17" s="7"/>
      <c r="I17" s="10"/>
      <c r="J17" s="10"/>
      <c r="K17" s="7"/>
      <c r="L17" s="7"/>
      <c r="M17" s="7"/>
      <c r="N17" s="7"/>
      <c r="O17" s="7"/>
      <c r="P17" s="7"/>
      <c r="Q17" s="7"/>
      <c r="R17" s="7"/>
      <c r="S17" s="7"/>
      <c r="T17" s="7"/>
      <c r="U17" s="10"/>
      <c r="V17" s="7"/>
      <c r="W17" s="7"/>
      <c r="X17" s="7"/>
      <c r="Y17" s="7"/>
      <c r="Z17" s="10"/>
      <c r="AA17" s="7"/>
      <c r="AB17" s="7"/>
    </row>
    <row r="18" spans="1:28" ht="32" customHeight="1">
      <c r="A18" s="7"/>
      <c r="B18" s="7"/>
      <c r="C18" s="7"/>
      <c r="D18" s="7"/>
      <c r="E18" s="7"/>
      <c r="F18" s="7"/>
      <c r="G18" s="7"/>
      <c r="H18" s="7"/>
      <c r="I18" s="10"/>
      <c r="J18" s="10"/>
      <c r="K18" s="7"/>
      <c r="L18" s="7"/>
      <c r="M18" s="7"/>
      <c r="N18" s="7"/>
      <c r="O18" s="7"/>
      <c r="P18" s="7"/>
      <c r="Q18" s="7"/>
      <c r="R18" s="7"/>
      <c r="S18" s="7"/>
      <c r="T18" s="7"/>
      <c r="U18" s="10"/>
      <c r="V18" s="7"/>
      <c r="W18" s="7"/>
      <c r="X18" s="7"/>
      <c r="Y18" s="7"/>
      <c r="Z18" s="10"/>
      <c r="AA18" s="7"/>
      <c r="AB18" s="7"/>
    </row>
    <row r="19" spans="1:28" ht="32" customHeight="1">
      <c r="A19" s="7"/>
      <c r="B19" s="7"/>
      <c r="C19" s="7"/>
      <c r="D19" s="7"/>
      <c r="E19" s="7"/>
      <c r="F19" s="7"/>
      <c r="G19" s="7"/>
      <c r="H19" s="7"/>
      <c r="I19" s="10"/>
      <c r="J19" s="10"/>
      <c r="K19" s="7"/>
      <c r="L19" s="7"/>
      <c r="M19" s="7"/>
      <c r="N19" s="7"/>
      <c r="O19" s="7"/>
      <c r="P19" s="7"/>
      <c r="Q19" s="7"/>
      <c r="R19" s="7"/>
      <c r="S19" s="7"/>
      <c r="T19" s="7"/>
      <c r="U19" s="10"/>
      <c r="V19" s="7"/>
      <c r="W19" s="7"/>
      <c r="X19" s="7"/>
      <c r="Y19" s="7"/>
      <c r="Z19" s="10"/>
      <c r="AA19" s="7"/>
      <c r="AB19" s="7"/>
    </row>
    <row r="20" spans="1:28" ht="32" customHeight="1">
      <c r="A20" s="7"/>
      <c r="B20" s="7"/>
      <c r="C20" s="7"/>
      <c r="D20" s="7"/>
      <c r="E20" s="7"/>
      <c r="F20" s="7"/>
      <c r="G20" s="7"/>
      <c r="H20" s="7"/>
      <c r="I20" s="10"/>
      <c r="J20" s="10"/>
      <c r="K20" s="7"/>
      <c r="L20" s="7"/>
      <c r="M20" s="7"/>
      <c r="N20" s="7"/>
      <c r="O20" s="7"/>
      <c r="P20" s="7"/>
      <c r="Q20" s="7"/>
      <c r="R20" s="7"/>
      <c r="S20" s="7"/>
      <c r="T20" s="7"/>
      <c r="U20" s="10"/>
      <c r="V20" s="7"/>
      <c r="W20" s="7"/>
      <c r="X20" s="7"/>
      <c r="Y20" s="7"/>
      <c r="Z20" s="10"/>
      <c r="AA20" s="7"/>
      <c r="AB20" s="7"/>
    </row>
    <row r="21" spans="1:28" ht="32" customHeight="1">
      <c r="A21" s="7"/>
      <c r="B21" s="7"/>
      <c r="C21" s="7"/>
      <c r="D21" s="7"/>
      <c r="E21" s="7"/>
      <c r="F21" s="7"/>
      <c r="G21" s="7"/>
      <c r="H21" s="7"/>
      <c r="I21" s="10"/>
      <c r="J21" s="10"/>
      <c r="K21" s="7"/>
      <c r="L21" s="7"/>
      <c r="M21" s="7"/>
      <c r="N21" s="7"/>
      <c r="O21" s="7"/>
      <c r="P21" s="7"/>
      <c r="Q21" s="7"/>
      <c r="R21" s="7"/>
      <c r="S21" s="7"/>
      <c r="T21" s="7"/>
      <c r="U21" s="10"/>
      <c r="V21" s="7"/>
      <c r="W21" s="7"/>
      <c r="X21" s="7"/>
      <c r="Y21" s="7"/>
      <c r="Z21" s="10"/>
      <c r="AA21" s="7"/>
      <c r="AB21" s="7"/>
    </row>
    <row r="22" spans="1:28" ht="32" customHeight="1">
      <c r="A22" s="7"/>
      <c r="B22" s="7"/>
      <c r="C22" s="7"/>
      <c r="D22" s="7"/>
      <c r="E22" s="7"/>
      <c r="F22" s="7"/>
      <c r="G22" s="7"/>
      <c r="H22" s="7"/>
      <c r="I22" s="10"/>
      <c r="J22" s="10"/>
      <c r="K22" s="7"/>
      <c r="L22" s="7"/>
      <c r="M22" s="7"/>
      <c r="N22" s="7"/>
      <c r="O22" s="7"/>
      <c r="P22" s="7"/>
      <c r="Q22" s="7"/>
      <c r="R22" s="7"/>
      <c r="S22" s="7"/>
      <c r="T22" s="7"/>
      <c r="U22" s="10"/>
      <c r="V22" s="7"/>
      <c r="W22" s="7"/>
      <c r="X22" s="7"/>
      <c r="Y22" s="7"/>
      <c r="Z22" s="10"/>
      <c r="AA22" s="7"/>
      <c r="AB22" s="7"/>
    </row>
    <row r="23" spans="1:28" ht="32" customHeight="1">
      <c r="A23" s="7"/>
      <c r="B23" s="7"/>
      <c r="C23" s="7"/>
      <c r="D23" s="7"/>
      <c r="E23" s="7"/>
      <c r="F23" s="7"/>
      <c r="G23" s="7"/>
      <c r="H23" s="7"/>
      <c r="I23" s="10"/>
      <c r="J23" s="10"/>
      <c r="K23" s="7"/>
      <c r="L23" s="7"/>
      <c r="M23" s="7"/>
      <c r="N23" s="7"/>
      <c r="O23" s="7"/>
      <c r="P23" s="7"/>
      <c r="Q23" s="7"/>
      <c r="R23" s="7"/>
      <c r="S23" s="7"/>
      <c r="T23" s="7"/>
      <c r="U23" s="10"/>
      <c r="V23" s="7"/>
      <c r="W23" s="7"/>
      <c r="X23" s="7"/>
      <c r="Y23" s="7"/>
      <c r="Z23" s="10"/>
      <c r="AA23" s="7"/>
      <c r="AB23" s="7"/>
    </row>
    <row r="24" spans="1:28" ht="32" customHeight="1">
      <c r="A24" s="7"/>
      <c r="B24" s="7"/>
      <c r="C24" s="7"/>
      <c r="D24" s="7"/>
      <c r="E24" s="7"/>
      <c r="F24" s="7"/>
      <c r="G24" s="7"/>
      <c r="H24" s="7"/>
      <c r="I24" s="10"/>
      <c r="J24" s="10"/>
      <c r="K24" s="7"/>
      <c r="L24" s="7"/>
      <c r="M24" s="7"/>
      <c r="N24" s="7"/>
      <c r="O24" s="7"/>
      <c r="P24" s="7"/>
      <c r="Q24" s="7"/>
      <c r="R24" s="7"/>
      <c r="S24" s="7"/>
      <c r="T24" s="7"/>
      <c r="U24" s="10"/>
      <c r="V24" s="7"/>
      <c r="W24" s="7"/>
      <c r="X24" s="7"/>
      <c r="Y24" s="7"/>
      <c r="Z24" s="10"/>
      <c r="AA24" s="7"/>
      <c r="AB24" s="7"/>
    </row>
    <row r="25" spans="1:28" ht="32" customHeight="1">
      <c r="A25" s="7"/>
      <c r="B25" s="7"/>
      <c r="C25" s="7"/>
      <c r="D25" s="7"/>
      <c r="E25" s="7"/>
      <c r="F25" s="7"/>
      <c r="G25" s="7"/>
      <c r="H25" s="7"/>
      <c r="I25" s="10"/>
      <c r="J25" s="10"/>
      <c r="K25" s="7"/>
      <c r="L25" s="7"/>
      <c r="M25" s="7"/>
      <c r="N25" s="7"/>
      <c r="O25" s="7"/>
      <c r="P25" s="7"/>
      <c r="Q25" s="7"/>
      <c r="R25" s="7"/>
      <c r="S25" s="7"/>
      <c r="T25" s="7"/>
      <c r="U25" s="10"/>
      <c r="V25" s="7"/>
      <c r="W25" s="7"/>
      <c r="X25" s="7"/>
      <c r="Y25" s="7"/>
      <c r="Z25" s="10"/>
      <c r="AA25" s="7"/>
      <c r="AB25" s="7"/>
    </row>
    <row r="26" spans="1:28" ht="32" customHeight="1">
      <c r="A26" s="7"/>
      <c r="B26" s="7"/>
      <c r="C26" s="7"/>
      <c r="D26" s="7"/>
      <c r="E26" s="7"/>
      <c r="F26" s="7"/>
      <c r="G26" s="7"/>
      <c r="H26" s="7"/>
      <c r="I26" s="10"/>
      <c r="J26" s="10"/>
      <c r="K26" s="7"/>
      <c r="L26" s="7"/>
      <c r="M26" s="7"/>
      <c r="N26" s="7"/>
      <c r="O26" s="7"/>
      <c r="P26" s="7"/>
      <c r="Q26" s="7"/>
      <c r="R26" s="7"/>
      <c r="S26" s="7"/>
      <c r="T26" s="7"/>
      <c r="U26" s="10"/>
      <c r="V26" s="7"/>
      <c r="W26" s="7"/>
      <c r="X26" s="7"/>
      <c r="Y26" s="7"/>
      <c r="Z26" s="10"/>
      <c r="AA26" s="7"/>
      <c r="AB26" s="7"/>
    </row>
    <row r="27" spans="1:28" ht="32" customHeight="1">
      <c r="A27" s="7"/>
      <c r="B27" s="7"/>
      <c r="C27" s="7"/>
      <c r="D27" s="7"/>
      <c r="E27" s="7"/>
      <c r="F27" s="7"/>
      <c r="G27" s="7"/>
      <c r="H27" s="7"/>
      <c r="I27" s="10"/>
      <c r="J27" s="10"/>
      <c r="K27" s="7"/>
      <c r="L27" s="7"/>
      <c r="M27" s="7"/>
      <c r="N27" s="7"/>
      <c r="O27" s="7"/>
      <c r="P27" s="7"/>
      <c r="Q27" s="7"/>
      <c r="R27" s="7"/>
      <c r="S27" s="7"/>
      <c r="T27" s="7"/>
      <c r="U27" s="10"/>
      <c r="V27" s="7"/>
      <c r="W27" s="7"/>
      <c r="X27" s="7"/>
      <c r="Y27" s="7"/>
      <c r="Z27" s="10"/>
      <c r="AA27" s="7"/>
      <c r="AB27" s="7"/>
    </row>
    <row r="28" spans="1:28" ht="32" customHeight="1">
      <c r="A28" s="7"/>
      <c r="B28" s="7"/>
      <c r="C28" s="7"/>
      <c r="D28" s="7"/>
      <c r="E28" s="7"/>
      <c r="F28" s="7"/>
      <c r="G28" s="7"/>
      <c r="H28" s="7"/>
      <c r="I28" s="10"/>
      <c r="J28" s="10"/>
      <c r="K28" s="7"/>
      <c r="L28" s="7"/>
      <c r="M28" s="7"/>
      <c r="N28" s="7"/>
      <c r="O28" s="7"/>
      <c r="P28" s="7"/>
      <c r="Q28" s="7"/>
      <c r="R28" s="7"/>
      <c r="S28" s="7"/>
      <c r="T28" s="7"/>
      <c r="U28" s="10"/>
      <c r="V28" s="7"/>
      <c r="W28" s="7"/>
      <c r="X28" s="7"/>
      <c r="Y28" s="7"/>
      <c r="Z28" s="10"/>
      <c r="AA28" s="7"/>
      <c r="AB28" s="7"/>
    </row>
    <row r="29" spans="1:28" ht="32" customHeight="1">
      <c r="A29" s="7"/>
      <c r="B29" s="7"/>
      <c r="C29" s="7"/>
      <c r="D29" s="7"/>
      <c r="E29" s="7"/>
      <c r="F29" s="7"/>
      <c r="G29" s="7"/>
      <c r="H29" s="7"/>
      <c r="I29" s="10"/>
      <c r="J29" s="10"/>
      <c r="K29" s="7"/>
      <c r="L29" s="7"/>
      <c r="M29" s="7"/>
      <c r="N29" s="7"/>
      <c r="O29" s="7"/>
      <c r="P29" s="7"/>
      <c r="Q29" s="7"/>
      <c r="R29" s="7"/>
      <c r="S29" s="7"/>
      <c r="T29" s="7"/>
      <c r="U29" s="10"/>
      <c r="V29" s="7"/>
      <c r="W29" s="7"/>
      <c r="X29" s="7"/>
      <c r="Y29" s="7"/>
      <c r="Z29" s="10"/>
      <c r="AA29" s="7"/>
      <c r="AB29" s="7"/>
    </row>
    <row r="30" spans="1:28" ht="32" customHeight="1">
      <c r="A30" s="7"/>
      <c r="B30" s="7"/>
      <c r="C30" s="7"/>
      <c r="D30" s="7"/>
      <c r="E30" s="7"/>
      <c r="F30" s="7"/>
      <c r="G30" s="7"/>
      <c r="H30" s="7"/>
      <c r="I30" s="10"/>
      <c r="J30" s="10"/>
      <c r="K30" s="7"/>
      <c r="L30" s="7"/>
      <c r="M30" s="7"/>
      <c r="N30" s="7"/>
      <c r="O30" s="7"/>
      <c r="P30" s="7"/>
      <c r="Q30" s="7"/>
      <c r="R30" s="7"/>
      <c r="S30" s="7"/>
      <c r="T30" s="7"/>
      <c r="U30" s="10"/>
      <c r="V30" s="7"/>
      <c r="W30" s="7"/>
      <c r="X30" s="7"/>
      <c r="Y30" s="7"/>
      <c r="Z30" s="10"/>
      <c r="AA30" s="7"/>
      <c r="AB30" s="7"/>
    </row>
    <row r="31" spans="1:28" ht="32" customHeight="1">
      <c r="A31" s="7"/>
      <c r="B31" s="7"/>
      <c r="C31" s="7"/>
      <c r="D31" s="7"/>
      <c r="E31" s="7"/>
      <c r="F31" s="7"/>
      <c r="G31" s="7"/>
      <c r="H31" s="7"/>
      <c r="I31" s="10"/>
      <c r="J31" s="10"/>
      <c r="K31" s="7"/>
      <c r="L31" s="7"/>
      <c r="M31" s="7"/>
      <c r="N31" s="7"/>
      <c r="O31" s="7"/>
      <c r="P31" s="7"/>
      <c r="Q31" s="7"/>
      <c r="R31" s="7"/>
      <c r="S31" s="7"/>
      <c r="T31" s="7"/>
      <c r="U31" s="10"/>
      <c r="V31" s="7"/>
      <c r="W31" s="7"/>
      <c r="X31" s="7"/>
      <c r="Y31" s="7"/>
      <c r="Z31" s="10"/>
      <c r="AA31" s="7"/>
      <c r="AB31" s="7"/>
    </row>
    <row r="32" spans="1:28" ht="32" customHeight="1">
      <c r="A32" s="7"/>
      <c r="B32" s="7"/>
      <c r="C32" s="7"/>
      <c r="D32" s="7"/>
      <c r="E32" s="7"/>
      <c r="F32" s="7"/>
      <c r="G32" s="7"/>
      <c r="H32" s="7"/>
      <c r="I32" s="10"/>
      <c r="J32" s="10"/>
      <c r="K32" s="7"/>
      <c r="L32" s="7"/>
      <c r="M32" s="7"/>
      <c r="N32" s="7"/>
      <c r="O32" s="7"/>
      <c r="P32" s="7"/>
      <c r="Q32" s="7"/>
      <c r="R32" s="7"/>
      <c r="S32" s="7"/>
      <c r="T32" s="7"/>
      <c r="U32" s="10"/>
      <c r="V32" s="7"/>
      <c r="W32" s="7"/>
      <c r="X32" s="7"/>
      <c r="Y32" s="7"/>
      <c r="Z32" s="10"/>
      <c r="AA32" s="7"/>
      <c r="AB32" s="7"/>
    </row>
    <row r="33" spans="1:28" ht="32" customHeight="1">
      <c r="A33" s="7"/>
      <c r="B33" s="7"/>
      <c r="C33" s="7"/>
      <c r="D33" s="7"/>
      <c r="E33" s="7"/>
      <c r="F33" s="7"/>
      <c r="G33" s="7"/>
      <c r="H33" s="7"/>
      <c r="I33" s="10"/>
      <c r="J33" s="10"/>
      <c r="K33" s="7"/>
      <c r="L33" s="7"/>
      <c r="M33" s="7"/>
      <c r="N33" s="7"/>
      <c r="O33" s="7"/>
      <c r="P33" s="7"/>
      <c r="Q33" s="7"/>
      <c r="R33" s="7"/>
      <c r="S33" s="7"/>
      <c r="T33" s="7"/>
      <c r="U33" s="10"/>
      <c r="V33" s="7"/>
      <c r="W33" s="7"/>
      <c r="X33" s="7"/>
      <c r="Y33" s="7"/>
      <c r="Z33" s="10"/>
      <c r="AA33" s="7"/>
      <c r="AB33" s="7"/>
    </row>
    <row r="34" spans="1:28" ht="32" customHeight="1">
      <c r="A34" s="7"/>
      <c r="B34" s="7"/>
      <c r="C34" s="7"/>
      <c r="D34" s="7"/>
      <c r="E34" s="7"/>
      <c r="F34" s="7"/>
      <c r="G34" s="7"/>
      <c r="H34" s="7"/>
      <c r="I34" s="10"/>
      <c r="J34" s="10"/>
      <c r="K34" s="7"/>
      <c r="L34" s="7"/>
      <c r="M34" s="7"/>
      <c r="N34" s="7"/>
      <c r="O34" s="7"/>
      <c r="P34" s="7"/>
      <c r="Q34" s="7"/>
      <c r="R34" s="7"/>
      <c r="S34" s="7"/>
      <c r="T34" s="7"/>
      <c r="U34" s="10"/>
      <c r="V34" s="7"/>
      <c r="W34" s="7"/>
      <c r="X34" s="7"/>
      <c r="Y34" s="7"/>
      <c r="Z34" s="10"/>
      <c r="AA34" s="7"/>
      <c r="AB34" s="7"/>
    </row>
    <row r="35" spans="1:28" ht="32" customHeight="1">
      <c r="A35" s="7"/>
      <c r="B35" s="7"/>
      <c r="C35" s="7"/>
      <c r="D35" s="7"/>
      <c r="E35" s="7"/>
      <c r="F35" s="7"/>
      <c r="G35" s="7"/>
      <c r="H35" s="7"/>
      <c r="I35" s="10"/>
      <c r="J35" s="10"/>
      <c r="K35" s="7"/>
      <c r="L35" s="7"/>
      <c r="M35" s="7"/>
      <c r="N35" s="7"/>
      <c r="O35" s="7"/>
      <c r="P35" s="7"/>
      <c r="Q35" s="7"/>
      <c r="R35" s="7"/>
      <c r="S35" s="7"/>
      <c r="T35" s="7"/>
      <c r="U35" s="10"/>
      <c r="V35" s="7"/>
      <c r="W35" s="7"/>
      <c r="X35" s="7"/>
      <c r="Y35" s="7"/>
      <c r="Z35" s="10"/>
      <c r="AA35" s="7"/>
      <c r="AB35" s="7"/>
    </row>
    <row r="36" spans="1:28" ht="32" customHeight="1">
      <c r="A36" s="7"/>
      <c r="B36" s="7"/>
      <c r="C36" s="7"/>
      <c r="D36" s="7"/>
      <c r="E36" s="7"/>
      <c r="F36" s="7"/>
      <c r="G36" s="7"/>
      <c r="H36" s="7"/>
      <c r="I36" s="10"/>
      <c r="J36" s="10"/>
      <c r="K36" s="7"/>
      <c r="L36" s="7"/>
      <c r="M36" s="7"/>
      <c r="N36" s="7"/>
      <c r="O36" s="7"/>
      <c r="P36" s="7"/>
      <c r="Q36" s="7"/>
      <c r="R36" s="7"/>
      <c r="S36" s="7"/>
      <c r="T36" s="7"/>
      <c r="U36" s="10"/>
      <c r="V36" s="7"/>
      <c r="W36" s="7"/>
      <c r="X36" s="7"/>
      <c r="Y36" s="7"/>
      <c r="Z36" s="10"/>
      <c r="AA36" s="7"/>
      <c r="AB36" s="7"/>
    </row>
    <row r="37" spans="1:28" ht="32" customHeight="1">
      <c r="A37" s="7"/>
      <c r="B37" s="7"/>
      <c r="C37" s="7"/>
      <c r="D37" s="7"/>
      <c r="E37" s="7"/>
      <c r="F37" s="7"/>
      <c r="G37" s="7"/>
      <c r="H37" s="7"/>
      <c r="I37" s="10"/>
      <c r="J37" s="10"/>
      <c r="K37" s="7"/>
      <c r="L37" s="7"/>
      <c r="M37" s="7"/>
      <c r="N37" s="7"/>
      <c r="O37" s="7"/>
      <c r="P37" s="7"/>
      <c r="Q37" s="7"/>
      <c r="R37" s="7"/>
      <c r="S37" s="7"/>
      <c r="T37" s="7"/>
      <c r="U37" s="10"/>
      <c r="V37" s="7"/>
      <c r="W37" s="7"/>
      <c r="X37" s="7"/>
      <c r="Y37" s="7"/>
      <c r="Z37" s="10"/>
      <c r="AA37" s="7"/>
      <c r="AB37" s="7"/>
    </row>
    <row r="38" spans="1:28" ht="32" customHeight="1">
      <c r="A38" s="7"/>
      <c r="B38" s="7"/>
      <c r="C38" s="7"/>
      <c r="D38" s="7"/>
      <c r="E38" s="7"/>
      <c r="F38" s="7"/>
      <c r="G38" s="7"/>
      <c r="H38" s="7"/>
      <c r="I38" s="10"/>
      <c r="J38" s="10"/>
      <c r="K38" s="7"/>
      <c r="L38" s="7"/>
      <c r="M38" s="7"/>
      <c r="N38" s="7"/>
      <c r="O38" s="7"/>
      <c r="P38" s="7"/>
      <c r="Q38" s="7"/>
      <c r="R38" s="7"/>
      <c r="S38" s="7"/>
      <c r="T38" s="7"/>
      <c r="U38" s="10"/>
      <c r="V38" s="7"/>
      <c r="W38" s="7"/>
      <c r="X38" s="7"/>
      <c r="Y38" s="7"/>
      <c r="Z38" s="10"/>
      <c r="AA38" s="7"/>
      <c r="AB38" s="7"/>
    </row>
    <row r="39" spans="1:28" ht="32" customHeight="1">
      <c r="A39" s="7"/>
      <c r="B39" s="7"/>
      <c r="C39" s="7"/>
      <c r="D39" s="7"/>
      <c r="E39" s="7"/>
      <c r="F39" s="7"/>
      <c r="G39" s="7"/>
      <c r="H39" s="7"/>
      <c r="I39" s="10"/>
      <c r="J39" s="10"/>
      <c r="K39" s="7"/>
      <c r="L39" s="7"/>
      <c r="M39" s="7"/>
      <c r="N39" s="7"/>
      <c r="O39" s="7"/>
      <c r="P39" s="7"/>
      <c r="Q39" s="7"/>
      <c r="R39" s="7"/>
      <c r="S39" s="7"/>
      <c r="T39" s="7"/>
      <c r="U39" s="10"/>
      <c r="V39" s="7"/>
      <c r="W39" s="7"/>
      <c r="X39" s="7"/>
      <c r="Y39" s="7"/>
      <c r="Z39" s="10"/>
      <c r="AA39" s="7"/>
      <c r="AB39" s="7"/>
    </row>
    <row r="40" spans="1:28" ht="32" customHeight="1">
      <c r="A40" s="7"/>
      <c r="B40" s="7"/>
      <c r="C40" s="7"/>
      <c r="D40" s="7"/>
      <c r="E40" s="7"/>
      <c r="F40" s="7"/>
      <c r="G40" s="7"/>
      <c r="H40" s="7"/>
      <c r="I40" s="10"/>
      <c r="J40" s="10"/>
      <c r="K40" s="7"/>
      <c r="L40" s="7"/>
      <c r="M40" s="7"/>
      <c r="N40" s="7"/>
      <c r="O40" s="7"/>
      <c r="P40" s="7"/>
      <c r="Q40" s="7"/>
      <c r="R40" s="7"/>
      <c r="S40" s="7"/>
      <c r="T40" s="7"/>
      <c r="U40" s="10"/>
      <c r="V40" s="7"/>
      <c r="W40" s="7"/>
      <c r="X40" s="7"/>
      <c r="Y40" s="7"/>
      <c r="Z40" s="10"/>
      <c r="AA40" s="7"/>
      <c r="AB40" s="7"/>
    </row>
    <row r="41" spans="1:28" ht="32" customHeight="1">
      <c r="A41" s="7"/>
      <c r="B41" s="7"/>
      <c r="C41" s="7"/>
      <c r="D41" s="7"/>
      <c r="E41" s="7"/>
      <c r="F41" s="7"/>
      <c r="G41" s="7"/>
      <c r="H41" s="7"/>
      <c r="I41" s="10"/>
      <c r="J41" s="10"/>
      <c r="K41" s="7"/>
      <c r="L41" s="7"/>
      <c r="M41" s="7"/>
      <c r="N41" s="7"/>
      <c r="O41" s="7"/>
      <c r="P41" s="7"/>
      <c r="Q41" s="7"/>
      <c r="R41" s="7"/>
      <c r="S41" s="7"/>
      <c r="T41" s="7"/>
      <c r="U41" s="10"/>
      <c r="V41" s="7"/>
      <c r="W41" s="7"/>
      <c r="X41" s="7"/>
      <c r="Y41" s="7"/>
      <c r="Z41" s="10"/>
      <c r="AA41" s="7"/>
      <c r="AB41" s="7"/>
    </row>
    <row r="42" spans="1:28" ht="32" customHeight="1">
      <c r="A42" s="7"/>
      <c r="B42" s="7"/>
      <c r="C42" s="7"/>
      <c r="D42" s="7"/>
      <c r="E42" s="7"/>
      <c r="F42" s="7"/>
      <c r="G42" s="7"/>
      <c r="H42" s="7"/>
      <c r="I42" s="10"/>
      <c r="J42" s="10"/>
      <c r="K42" s="7"/>
      <c r="L42" s="7"/>
      <c r="M42" s="7"/>
      <c r="N42" s="7"/>
      <c r="O42" s="7"/>
      <c r="P42" s="7"/>
      <c r="Q42" s="7"/>
      <c r="R42" s="7"/>
      <c r="S42" s="7"/>
      <c r="T42" s="7"/>
      <c r="U42" s="10"/>
      <c r="V42" s="7"/>
      <c r="W42" s="7"/>
      <c r="X42" s="7"/>
      <c r="Y42" s="7"/>
      <c r="Z42" s="10"/>
      <c r="AA42" s="7"/>
      <c r="AB42" s="7"/>
    </row>
    <row r="43" spans="1:28" ht="32" customHeight="1">
      <c r="A43" s="7"/>
      <c r="B43" s="7"/>
      <c r="C43" s="7"/>
      <c r="D43" s="7"/>
      <c r="E43" s="7"/>
      <c r="F43" s="7"/>
      <c r="G43" s="7"/>
      <c r="H43" s="7"/>
      <c r="I43" s="10"/>
      <c r="J43" s="10"/>
      <c r="K43" s="7"/>
      <c r="L43" s="7"/>
      <c r="M43" s="7"/>
      <c r="N43" s="7"/>
      <c r="O43" s="7"/>
      <c r="P43" s="7"/>
      <c r="Q43" s="7"/>
      <c r="R43" s="7"/>
      <c r="S43" s="7"/>
      <c r="T43" s="7"/>
      <c r="U43" s="10"/>
      <c r="V43" s="7"/>
      <c r="W43" s="7"/>
      <c r="X43" s="7"/>
      <c r="Y43" s="7"/>
      <c r="Z43" s="10"/>
      <c r="AA43" s="7"/>
      <c r="AB43" s="7"/>
    </row>
    <row r="44" spans="1:28" ht="32" customHeight="1">
      <c r="A44" s="7"/>
      <c r="B44" s="7"/>
      <c r="C44" s="7"/>
      <c r="D44" s="7"/>
      <c r="E44" s="7"/>
      <c r="F44" s="7"/>
      <c r="G44" s="7"/>
      <c r="H44" s="7"/>
      <c r="I44" s="10"/>
      <c r="J44" s="10"/>
      <c r="K44" s="7"/>
      <c r="L44" s="7"/>
      <c r="M44" s="7"/>
      <c r="N44" s="7"/>
      <c r="O44" s="7"/>
      <c r="P44" s="7"/>
      <c r="Q44" s="7"/>
      <c r="R44" s="7"/>
      <c r="S44" s="7"/>
      <c r="T44" s="7"/>
      <c r="U44" s="10"/>
      <c r="V44" s="7"/>
      <c r="W44" s="7"/>
      <c r="X44" s="7"/>
      <c r="Y44" s="7"/>
      <c r="Z44" s="10"/>
      <c r="AA44" s="7"/>
      <c r="AB44" s="7"/>
    </row>
    <row r="45" spans="1:28" ht="32" customHeight="1">
      <c r="A45" s="7"/>
      <c r="B45" s="7"/>
      <c r="C45" s="7"/>
      <c r="D45" s="7"/>
      <c r="E45" s="7"/>
      <c r="F45" s="7"/>
      <c r="G45" s="7"/>
      <c r="H45" s="7"/>
      <c r="I45" s="10"/>
      <c r="J45" s="10"/>
      <c r="K45" s="7"/>
      <c r="L45" s="7"/>
      <c r="M45" s="7"/>
      <c r="N45" s="7"/>
      <c r="O45" s="7"/>
      <c r="P45" s="7"/>
      <c r="Q45" s="7"/>
      <c r="R45" s="7"/>
      <c r="S45" s="7"/>
      <c r="T45" s="7"/>
      <c r="U45" s="10"/>
      <c r="V45" s="7"/>
      <c r="W45" s="7"/>
      <c r="X45" s="7"/>
      <c r="Y45" s="7"/>
      <c r="Z45" s="10"/>
      <c r="AA45" s="7"/>
      <c r="AB45" s="7"/>
    </row>
    <row r="46" spans="1:28" ht="32" customHeight="1">
      <c r="A46" s="7"/>
      <c r="B46" s="7"/>
      <c r="C46" s="7"/>
      <c r="D46" s="7"/>
      <c r="E46" s="7"/>
      <c r="F46" s="7"/>
      <c r="G46" s="7"/>
      <c r="H46" s="7"/>
      <c r="I46" s="10"/>
      <c r="J46" s="10"/>
      <c r="K46" s="7"/>
      <c r="L46" s="7"/>
      <c r="M46" s="7"/>
      <c r="N46" s="7"/>
      <c r="O46" s="7"/>
      <c r="P46" s="7"/>
      <c r="Q46" s="7"/>
      <c r="R46" s="7"/>
      <c r="S46" s="7"/>
      <c r="T46" s="7"/>
      <c r="U46" s="10"/>
      <c r="V46" s="7"/>
      <c r="W46" s="7"/>
      <c r="X46" s="7"/>
      <c r="Y46" s="7"/>
      <c r="Z46" s="10"/>
      <c r="AA46" s="7"/>
      <c r="AB46" s="7"/>
    </row>
    <row r="47" spans="1:28" ht="32" customHeight="1">
      <c r="A47" s="7"/>
      <c r="B47" s="7"/>
      <c r="C47" s="7"/>
      <c r="D47" s="7"/>
      <c r="E47" s="7"/>
      <c r="F47" s="7"/>
      <c r="G47" s="7"/>
      <c r="H47" s="7"/>
      <c r="I47" s="10"/>
      <c r="J47" s="10"/>
      <c r="K47" s="7"/>
      <c r="L47" s="7"/>
      <c r="M47" s="7"/>
      <c r="N47" s="7"/>
      <c r="O47" s="7"/>
      <c r="P47" s="7"/>
      <c r="Q47" s="7"/>
      <c r="R47" s="7"/>
      <c r="S47" s="7"/>
      <c r="T47" s="7"/>
      <c r="U47" s="10"/>
      <c r="V47" s="7"/>
      <c r="W47" s="7"/>
      <c r="X47" s="7"/>
      <c r="Y47" s="7"/>
      <c r="Z47" s="10"/>
      <c r="AA47" s="7"/>
      <c r="AB47" s="7"/>
    </row>
    <row r="48" spans="1:28" ht="32" customHeight="1">
      <c r="A48" s="7"/>
      <c r="B48" s="7"/>
      <c r="C48" s="7"/>
      <c r="D48" s="7"/>
      <c r="E48" s="7"/>
      <c r="F48" s="7"/>
      <c r="G48" s="7"/>
      <c r="H48" s="7"/>
      <c r="I48" s="10"/>
      <c r="J48" s="10"/>
      <c r="K48" s="7"/>
      <c r="L48" s="7"/>
      <c r="M48" s="7"/>
      <c r="N48" s="7"/>
      <c r="O48" s="7"/>
      <c r="P48" s="7"/>
      <c r="Q48" s="7"/>
      <c r="R48" s="7"/>
      <c r="S48" s="7"/>
      <c r="T48" s="7"/>
      <c r="U48" s="10"/>
      <c r="V48" s="7"/>
      <c r="W48" s="7"/>
      <c r="X48" s="7"/>
      <c r="Y48" s="7"/>
      <c r="Z48" s="10"/>
      <c r="AA48" s="7"/>
      <c r="AB48" s="7"/>
    </row>
    <row r="49" spans="1:28" ht="32" customHeight="1">
      <c r="A49" s="7"/>
      <c r="B49" s="7"/>
      <c r="C49" s="7"/>
      <c r="D49" s="7"/>
      <c r="E49" s="7"/>
      <c r="F49" s="7"/>
      <c r="G49" s="7"/>
      <c r="H49" s="7"/>
      <c r="I49" s="10"/>
      <c r="J49" s="10"/>
      <c r="K49" s="7"/>
      <c r="L49" s="7"/>
      <c r="M49" s="7"/>
      <c r="N49" s="7"/>
      <c r="O49" s="7"/>
      <c r="P49" s="7"/>
      <c r="Q49" s="7"/>
      <c r="R49" s="7"/>
      <c r="S49" s="7"/>
      <c r="T49" s="7"/>
      <c r="U49" s="10"/>
      <c r="V49" s="7"/>
      <c r="W49" s="7"/>
      <c r="X49" s="7"/>
      <c r="Y49" s="7"/>
      <c r="Z49" s="10"/>
      <c r="AA49" s="7"/>
      <c r="AB49" s="7"/>
    </row>
    <row r="50" spans="1:28" ht="32" customHeight="1">
      <c r="A50" s="7"/>
      <c r="B50" s="7"/>
      <c r="C50" s="7"/>
      <c r="D50" s="7"/>
      <c r="E50" s="7"/>
      <c r="F50" s="7"/>
      <c r="G50" s="7"/>
      <c r="H50" s="7"/>
      <c r="I50" s="10"/>
      <c r="J50" s="10"/>
      <c r="K50" s="7"/>
      <c r="L50" s="7"/>
      <c r="M50" s="7"/>
      <c r="N50" s="7"/>
      <c r="O50" s="7"/>
      <c r="P50" s="7"/>
      <c r="Q50" s="7"/>
      <c r="R50" s="7"/>
      <c r="S50" s="7"/>
      <c r="T50" s="7"/>
      <c r="U50" s="10"/>
      <c r="V50" s="7"/>
      <c r="W50" s="7"/>
      <c r="X50" s="7"/>
      <c r="Y50" s="7"/>
      <c r="Z50" s="10"/>
      <c r="AA50" s="7"/>
      <c r="AB50" s="7"/>
    </row>
    <row r="51" spans="1:28" ht="32" customHeight="1">
      <c r="A51" s="7"/>
      <c r="B51" s="7"/>
      <c r="C51" s="7"/>
      <c r="D51" s="7"/>
      <c r="E51" s="7"/>
      <c r="F51" s="7"/>
      <c r="G51" s="7"/>
      <c r="H51" s="7"/>
      <c r="I51" s="10"/>
      <c r="J51" s="10"/>
      <c r="K51" s="7"/>
      <c r="L51" s="7"/>
      <c r="M51" s="7"/>
      <c r="N51" s="7"/>
      <c r="O51" s="7"/>
      <c r="P51" s="7"/>
      <c r="Q51" s="7"/>
      <c r="R51" s="7"/>
      <c r="S51" s="7"/>
      <c r="T51" s="7"/>
      <c r="U51" s="10"/>
      <c r="V51" s="7"/>
      <c r="W51" s="7"/>
      <c r="X51" s="7"/>
      <c r="Y51" s="7"/>
      <c r="Z51" s="10"/>
      <c r="AA51" s="7"/>
      <c r="AB51" s="7"/>
    </row>
    <row r="52" spans="1:28" ht="32" customHeight="1">
      <c r="A52" s="7"/>
      <c r="B52" s="7"/>
      <c r="C52" s="7"/>
      <c r="D52" s="7"/>
      <c r="E52" s="7"/>
      <c r="F52" s="7"/>
      <c r="G52" s="7"/>
      <c r="H52" s="7"/>
      <c r="I52" s="10"/>
      <c r="J52" s="10"/>
      <c r="K52" s="7"/>
      <c r="L52" s="7"/>
      <c r="M52" s="7"/>
      <c r="N52" s="7"/>
      <c r="O52" s="7"/>
      <c r="P52" s="7"/>
      <c r="Q52" s="7"/>
      <c r="R52" s="7"/>
      <c r="S52" s="7"/>
      <c r="T52" s="7"/>
      <c r="U52" s="10"/>
      <c r="V52" s="7"/>
      <c r="W52" s="7"/>
      <c r="X52" s="7"/>
      <c r="Y52" s="7"/>
      <c r="Z52" s="10"/>
      <c r="AA52" s="7"/>
      <c r="AB52" s="7"/>
    </row>
    <row r="53" spans="1:28" ht="32" customHeight="1">
      <c r="A53" s="7"/>
      <c r="B53" s="7"/>
      <c r="C53" s="7"/>
      <c r="D53" s="7"/>
      <c r="E53" s="7"/>
      <c r="F53" s="7"/>
      <c r="G53" s="7"/>
      <c r="H53" s="7"/>
      <c r="I53" s="10"/>
      <c r="J53" s="10"/>
      <c r="K53" s="7"/>
      <c r="L53" s="7"/>
      <c r="M53" s="7"/>
      <c r="N53" s="7"/>
      <c r="O53" s="7"/>
      <c r="P53" s="7"/>
      <c r="Q53" s="7"/>
      <c r="R53" s="7"/>
      <c r="S53" s="7"/>
      <c r="T53" s="7"/>
      <c r="U53" s="10"/>
      <c r="V53" s="7"/>
      <c r="W53" s="7"/>
      <c r="X53" s="7"/>
      <c r="Y53" s="7"/>
      <c r="Z53" s="10"/>
      <c r="AA53" s="7"/>
      <c r="AB53" s="7"/>
    </row>
    <row r="54" spans="1:28" ht="32" customHeight="1">
      <c r="A54" s="7"/>
      <c r="B54" s="7"/>
      <c r="C54" s="7"/>
      <c r="D54" s="7"/>
      <c r="E54" s="7"/>
      <c r="F54" s="7"/>
      <c r="G54" s="7"/>
      <c r="H54" s="7"/>
      <c r="I54" s="10"/>
      <c r="J54" s="10"/>
      <c r="K54" s="7"/>
      <c r="L54" s="7"/>
      <c r="M54" s="7"/>
      <c r="N54" s="7"/>
      <c r="O54" s="7"/>
      <c r="P54" s="7"/>
      <c r="Q54" s="7"/>
      <c r="R54" s="7"/>
      <c r="S54" s="7"/>
      <c r="T54" s="7"/>
      <c r="U54" s="10"/>
      <c r="V54" s="7"/>
      <c r="W54" s="7"/>
      <c r="X54" s="7"/>
      <c r="Y54" s="7"/>
      <c r="Z54" s="10"/>
      <c r="AA54" s="7"/>
      <c r="AB54" s="7"/>
    </row>
    <row r="55" spans="1:28" ht="32" customHeight="1">
      <c r="A55" s="7"/>
      <c r="B55" s="7"/>
      <c r="C55" s="7"/>
      <c r="D55" s="7"/>
      <c r="E55" s="7"/>
      <c r="F55" s="7"/>
      <c r="G55" s="7"/>
      <c r="H55" s="7"/>
      <c r="I55" s="10"/>
      <c r="J55" s="10"/>
      <c r="K55" s="7"/>
      <c r="L55" s="7"/>
      <c r="M55" s="7"/>
      <c r="N55" s="7"/>
      <c r="O55" s="7"/>
      <c r="P55" s="7"/>
      <c r="Q55" s="7"/>
      <c r="R55" s="7"/>
      <c r="S55" s="7"/>
      <c r="T55" s="7"/>
      <c r="U55" s="10"/>
      <c r="V55" s="7"/>
      <c r="W55" s="7"/>
      <c r="X55" s="7"/>
      <c r="Y55" s="7"/>
      <c r="Z55" s="10"/>
      <c r="AA55" s="7"/>
      <c r="AB55" s="7"/>
    </row>
    <row r="56" spans="1:28" ht="32" customHeight="1">
      <c r="A56" s="7"/>
      <c r="B56" s="7"/>
      <c r="C56" s="7"/>
      <c r="D56" s="7"/>
      <c r="E56" s="7"/>
      <c r="F56" s="7"/>
      <c r="G56" s="7"/>
      <c r="H56" s="7"/>
      <c r="I56" s="10"/>
      <c r="J56" s="10"/>
      <c r="K56" s="7"/>
      <c r="L56" s="7"/>
      <c r="M56" s="7"/>
      <c r="N56" s="7"/>
      <c r="O56" s="7"/>
      <c r="P56" s="7"/>
      <c r="Q56" s="7"/>
      <c r="R56" s="7"/>
      <c r="S56" s="7"/>
      <c r="T56" s="7"/>
      <c r="U56" s="10"/>
      <c r="V56" s="7"/>
      <c r="W56" s="7"/>
      <c r="X56" s="7"/>
      <c r="Y56" s="7"/>
      <c r="Z56" s="10"/>
      <c r="AA56" s="7"/>
      <c r="AB56" s="7"/>
    </row>
    <row r="57" spans="1:28" ht="32" customHeight="1">
      <c r="A57" s="7"/>
      <c r="B57" s="7"/>
      <c r="C57" s="7"/>
      <c r="D57" s="7"/>
      <c r="E57" s="7"/>
      <c r="F57" s="7"/>
      <c r="G57" s="7"/>
      <c r="H57" s="7"/>
      <c r="I57" s="10"/>
      <c r="J57" s="10"/>
      <c r="K57" s="7"/>
      <c r="L57" s="7"/>
      <c r="M57" s="7"/>
      <c r="N57" s="7"/>
      <c r="O57" s="7"/>
      <c r="P57" s="7"/>
      <c r="Q57" s="7"/>
      <c r="R57" s="7"/>
      <c r="S57" s="7"/>
      <c r="T57" s="7"/>
      <c r="U57" s="10"/>
      <c r="V57" s="7"/>
      <c r="W57" s="7"/>
      <c r="X57" s="7"/>
      <c r="Y57" s="7"/>
      <c r="Z57" s="10"/>
      <c r="AA57" s="7"/>
      <c r="AB57" s="7"/>
    </row>
    <row r="58" spans="1:28" ht="32" customHeight="1">
      <c r="A58" s="7"/>
      <c r="B58" s="7"/>
      <c r="C58" s="7"/>
      <c r="D58" s="7"/>
      <c r="E58" s="7"/>
      <c r="F58" s="7"/>
      <c r="G58" s="7"/>
      <c r="H58" s="7"/>
      <c r="I58" s="10"/>
      <c r="J58" s="10"/>
      <c r="K58" s="7"/>
      <c r="L58" s="7"/>
      <c r="M58" s="7"/>
      <c r="N58" s="7"/>
      <c r="O58" s="7"/>
      <c r="P58" s="7"/>
      <c r="Q58" s="7"/>
      <c r="R58" s="7"/>
      <c r="S58" s="7"/>
      <c r="T58" s="7"/>
      <c r="U58" s="10"/>
      <c r="V58" s="7"/>
      <c r="W58" s="7"/>
      <c r="X58" s="7"/>
      <c r="Y58" s="7"/>
      <c r="Z58" s="10"/>
      <c r="AA58" s="7"/>
      <c r="AB58" s="7"/>
    </row>
    <row r="59" spans="1:28" ht="32" customHeight="1">
      <c r="A59" s="7"/>
      <c r="B59" s="7"/>
      <c r="C59" s="7"/>
      <c r="D59" s="7"/>
      <c r="E59" s="7"/>
      <c r="F59" s="7"/>
      <c r="G59" s="7"/>
      <c r="H59" s="7"/>
      <c r="I59" s="10"/>
      <c r="J59" s="10"/>
      <c r="K59" s="7"/>
      <c r="L59" s="7"/>
      <c r="M59" s="7"/>
      <c r="N59" s="7"/>
      <c r="O59" s="7"/>
      <c r="P59" s="7"/>
      <c r="Q59" s="7"/>
      <c r="R59" s="7"/>
      <c r="S59" s="7"/>
      <c r="T59" s="7"/>
      <c r="U59" s="10"/>
      <c r="V59" s="7"/>
      <c r="W59" s="7"/>
      <c r="X59" s="7"/>
      <c r="Y59" s="7"/>
      <c r="Z59" s="10"/>
      <c r="AA59" s="7"/>
      <c r="AB59" s="7"/>
    </row>
    <row r="60" spans="1:28" ht="32" customHeight="1">
      <c r="A60" s="7"/>
      <c r="B60" s="7"/>
      <c r="C60" s="7"/>
      <c r="D60" s="7"/>
      <c r="E60" s="7"/>
      <c r="F60" s="7"/>
      <c r="G60" s="7"/>
      <c r="H60" s="7"/>
      <c r="I60" s="10"/>
      <c r="J60" s="10"/>
      <c r="K60" s="7"/>
      <c r="L60" s="7"/>
      <c r="M60" s="7"/>
      <c r="N60" s="7"/>
      <c r="O60" s="7"/>
      <c r="P60" s="7"/>
      <c r="Q60" s="7"/>
      <c r="R60" s="7"/>
      <c r="S60" s="7"/>
      <c r="T60" s="7"/>
      <c r="U60" s="10"/>
      <c r="V60" s="7"/>
      <c r="W60" s="7"/>
      <c r="X60" s="7"/>
      <c r="Y60" s="7"/>
      <c r="Z60" s="10"/>
      <c r="AA60" s="7"/>
      <c r="AB60" s="7"/>
    </row>
    <row r="61" spans="1:28" ht="32" customHeight="1">
      <c r="A61" s="7"/>
      <c r="B61" s="7"/>
      <c r="C61" s="7"/>
      <c r="D61" s="7"/>
      <c r="E61" s="7"/>
      <c r="F61" s="7"/>
      <c r="G61" s="7"/>
      <c r="H61" s="7"/>
      <c r="I61" s="10"/>
      <c r="J61" s="10"/>
      <c r="K61" s="7"/>
      <c r="L61" s="7"/>
      <c r="M61" s="7"/>
      <c r="N61" s="7"/>
      <c r="O61" s="7"/>
      <c r="P61" s="7"/>
      <c r="Q61" s="7"/>
      <c r="R61" s="7"/>
      <c r="S61" s="7"/>
      <c r="T61" s="7"/>
      <c r="U61" s="10"/>
      <c r="V61" s="7"/>
      <c r="W61" s="7"/>
      <c r="X61" s="7"/>
      <c r="Y61" s="7"/>
      <c r="Z61" s="10"/>
      <c r="AA61" s="7"/>
      <c r="AB61" s="7"/>
    </row>
    <row r="62" spans="1:28" ht="32" customHeight="1">
      <c r="A62" s="7"/>
      <c r="B62" s="7"/>
      <c r="C62" s="7"/>
      <c r="D62" s="7"/>
      <c r="E62" s="7"/>
      <c r="F62" s="7"/>
      <c r="G62" s="7"/>
      <c r="H62" s="7"/>
      <c r="I62" s="10"/>
      <c r="J62" s="10"/>
      <c r="K62" s="7"/>
      <c r="L62" s="7"/>
      <c r="M62" s="7"/>
      <c r="N62" s="7"/>
      <c r="O62" s="7"/>
      <c r="P62" s="7"/>
      <c r="Q62" s="7"/>
      <c r="R62" s="7"/>
      <c r="S62" s="7"/>
      <c r="T62" s="7"/>
      <c r="U62" s="10"/>
      <c r="V62" s="7"/>
      <c r="W62" s="7"/>
      <c r="X62" s="7"/>
      <c r="Y62" s="7"/>
      <c r="Z62" s="10"/>
      <c r="AA62" s="7"/>
      <c r="AB62" s="7"/>
    </row>
    <row r="63" spans="1:28" ht="32" customHeight="1">
      <c r="A63" s="7"/>
      <c r="B63" s="7"/>
      <c r="C63" s="7"/>
      <c r="D63" s="7"/>
      <c r="E63" s="7"/>
      <c r="F63" s="7"/>
      <c r="G63" s="7"/>
      <c r="H63" s="7"/>
      <c r="I63" s="10"/>
      <c r="J63" s="10"/>
      <c r="K63" s="7"/>
      <c r="L63" s="7"/>
      <c r="M63" s="7"/>
      <c r="N63" s="7"/>
      <c r="O63" s="7"/>
      <c r="P63" s="7"/>
      <c r="Q63" s="7"/>
      <c r="R63" s="7"/>
      <c r="S63" s="7"/>
      <c r="T63" s="7"/>
      <c r="U63" s="10"/>
      <c r="V63" s="7"/>
      <c r="W63" s="7"/>
      <c r="X63" s="7"/>
      <c r="Y63" s="7"/>
      <c r="Z63" s="10"/>
      <c r="AA63" s="7"/>
      <c r="AB63" s="7"/>
    </row>
    <row r="64" spans="1:28" ht="32" customHeight="1">
      <c r="A64" s="7"/>
      <c r="B64" s="7"/>
      <c r="C64" s="7"/>
      <c r="D64" s="7"/>
      <c r="E64" s="7"/>
      <c r="F64" s="7"/>
      <c r="G64" s="7"/>
      <c r="H64" s="7"/>
      <c r="I64" s="10"/>
      <c r="J64" s="10"/>
      <c r="K64" s="7"/>
      <c r="L64" s="7"/>
      <c r="M64" s="7"/>
      <c r="N64" s="7"/>
      <c r="O64" s="7"/>
      <c r="P64" s="7"/>
      <c r="Q64" s="7"/>
      <c r="R64" s="7"/>
      <c r="S64" s="7"/>
      <c r="T64" s="7"/>
      <c r="U64" s="10"/>
      <c r="V64" s="7"/>
      <c r="W64" s="7"/>
      <c r="X64" s="7"/>
      <c r="Y64" s="7"/>
      <c r="Z64" s="10"/>
      <c r="AA64" s="7"/>
      <c r="AB64" s="7"/>
    </row>
    <row r="65" spans="1:28" ht="32" customHeight="1">
      <c r="A65" s="7"/>
      <c r="B65" s="7"/>
      <c r="C65" s="7"/>
      <c r="D65" s="7"/>
      <c r="E65" s="7"/>
      <c r="F65" s="7"/>
      <c r="G65" s="7"/>
      <c r="H65" s="7"/>
      <c r="I65" s="10"/>
      <c r="J65" s="10"/>
      <c r="K65" s="7"/>
      <c r="L65" s="7"/>
      <c r="M65" s="7"/>
      <c r="N65" s="7"/>
      <c r="O65" s="7"/>
      <c r="P65" s="7"/>
      <c r="Q65" s="7"/>
      <c r="R65" s="7"/>
      <c r="S65" s="7"/>
      <c r="T65" s="7"/>
      <c r="U65" s="10"/>
      <c r="V65" s="7"/>
      <c r="W65" s="7"/>
      <c r="X65" s="7"/>
      <c r="Y65" s="7"/>
      <c r="Z65" s="10"/>
      <c r="AA65" s="7"/>
      <c r="AB65" s="7"/>
    </row>
    <row r="66" spans="1:28" ht="32" customHeight="1">
      <c r="A66" s="7"/>
      <c r="B66" s="7"/>
      <c r="C66" s="7"/>
      <c r="D66" s="7"/>
      <c r="E66" s="7"/>
      <c r="F66" s="7"/>
      <c r="G66" s="7"/>
      <c r="H66" s="7"/>
      <c r="I66" s="10"/>
      <c r="J66" s="10"/>
      <c r="K66" s="7"/>
      <c r="L66" s="7"/>
      <c r="M66" s="7"/>
      <c r="N66" s="7"/>
      <c r="O66" s="7"/>
      <c r="P66" s="7"/>
      <c r="Q66" s="7"/>
      <c r="R66" s="7"/>
      <c r="S66" s="7"/>
      <c r="T66" s="7"/>
      <c r="U66" s="10"/>
      <c r="V66" s="7"/>
      <c r="W66" s="7"/>
      <c r="X66" s="7"/>
      <c r="Y66" s="7"/>
      <c r="Z66" s="10"/>
      <c r="AA66" s="7"/>
      <c r="AB66" s="7"/>
    </row>
    <row r="67" spans="1:28" ht="32" customHeight="1">
      <c r="A67" s="7"/>
      <c r="B67" s="7"/>
      <c r="C67" s="7"/>
      <c r="D67" s="7"/>
      <c r="E67" s="7"/>
      <c r="F67" s="7"/>
      <c r="G67" s="7"/>
      <c r="H67" s="7"/>
      <c r="I67" s="10"/>
      <c r="J67" s="10"/>
      <c r="K67" s="7"/>
      <c r="L67" s="7"/>
      <c r="M67" s="7"/>
      <c r="N67" s="7"/>
      <c r="O67" s="7"/>
      <c r="P67" s="7"/>
      <c r="Q67" s="7"/>
      <c r="R67" s="7"/>
      <c r="S67" s="7"/>
      <c r="T67" s="7"/>
      <c r="U67" s="10"/>
      <c r="V67" s="7"/>
      <c r="W67" s="7"/>
      <c r="X67" s="7"/>
      <c r="Y67" s="7"/>
      <c r="Z67" s="10"/>
      <c r="AA67" s="7"/>
      <c r="AB67" s="7"/>
    </row>
    <row r="68" spans="1:28" ht="32" customHeight="1">
      <c r="A68" s="7"/>
      <c r="B68" s="7"/>
      <c r="C68" s="7"/>
      <c r="D68" s="7"/>
      <c r="E68" s="7"/>
      <c r="F68" s="7"/>
      <c r="G68" s="7"/>
      <c r="H68" s="7"/>
      <c r="I68" s="10"/>
      <c r="J68" s="10"/>
      <c r="K68" s="7"/>
      <c r="L68" s="7"/>
      <c r="M68" s="7"/>
      <c r="N68" s="7"/>
      <c r="O68" s="7"/>
      <c r="P68" s="7"/>
      <c r="Q68" s="7"/>
      <c r="R68" s="7"/>
      <c r="S68" s="7"/>
      <c r="T68" s="7"/>
      <c r="U68" s="10"/>
      <c r="V68" s="7"/>
      <c r="W68" s="7"/>
      <c r="X68" s="7"/>
      <c r="Y68" s="7"/>
      <c r="Z68" s="10"/>
      <c r="AA68" s="7"/>
      <c r="AB68" s="7"/>
    </row>
    <row r="69" spans="1:28" ht="32" customHeight="1">
      <c r="A69" s="7"/>
      <c r="B69" s="7"/>
      <c r="C69" s="7"/>
      <c r="D69" s="7"/>
      <c r="E69" s="7"/>
      <c r="F69" s="7"/>
      <c r="G69" s="7"/>
      <c r="H69" s="7"/>
      <c r="I69" s="10"/>
      <c r="J69" s="10"/>
      <c r="K69" s="7"/>
      <c r="L69" s="7"/>
      <c r="M69" s="7"/>
      <c r="N69" s="7"/>
      <c r="O69" s="7"/>
      <c r="P69" s="7"/>
      <c r="Q69" s="7"/>
      <c r="R69" s="7"/>
      <c r="S69" s="7"/>
      <c r="T69" s="7"/>
      <c r="U69" s="10"/>
      <c r="V69" s="7"/>
      <c r="W69" s="7"/>
      <c r="X69" s="7"/>
      <c r="Y69" s="7"/>
      <c r="Z69" s="10"/>
      <c r="AA69" s="7"/>
      <c r="AB69" s="7"/>
    </row>
    <row r="70" spans="1:28" ht="32" customHeight="1">
      <c r="A70" s="7"/>
      <c r="B70" s="7"/>
      <c r="C70" s="7"/>
      <c r="D70" s="7"/>
      <c r="E70" s="7"/>
      <c r="F70" s="7"/>
      <c r="G70" s="7"/>
      <c r="H70" s="7"/>
      <c r="I70" s="10"/>
      <c r="J70" s="10"/>
      <c r="K70" s="7"/>
      <c r="L70" s="7"/>
      <c r="M70" s="7"/>
      <c r="N70" s="7"/>
      <c r="O70" s="7"/>
      <c r="P70" s="7"/>
      <c r="Q70" s="7"/>
      <c r="R70" s="7"/>
      <c r="S70" s="7"/>
      <c r="T70" s="7"/>
      <c r="U70" s="10"/>
      <c r="V70" s="7"/>
      <c r="W70" s="7"/>
      <c r="X70" s="7"/>
      <c r="Y70" s="7"/>
      <c r="Z70" s="10"/>
      <c r="AA70" s="7"/>
      <c r="AB70" s="7"/>
    </row>
    <row r="71" spans="1:28" ht="32" customHeight="1">
      <c r="A71" s="7"/>
      <c r="B71" s="7"/>
      <c r="C71" s="7"/>
      <c r="D71" s="7"/>
      <c r="E71" s="7"/>
      <c r="F71" s="7"/>
      <c r="G71" s="7"/>
      <c r="H71" s="7"/>
      <c r="I71" s="10"/>
      <c r="J71" s="10"/>
      <c r="K71" s="7"/>
      <c r="L71" s="7"/>
      <c r="M71" s="7"/>
      <c r="N71" s="7"/>
      <c r="O71" s="7"/>
      <c r="P71" s="7"/>
      <c r="Q71" s="7"/>
      <c r="R71" s="7"/>
      <c r="S71" s="7"/>
      <c r="T71" s="7"/>
      <c r="U71" s="10"/>
      <c r="V71" s="7"/>
      <c r="W71" s="7"/>
      <c r="X71" s="7"/>
      <c r="Y71" s="7"/>
      <c r="Z71" s="10"/>
      <c r="AA71" s="7"/>
      <c r="AB71" s="7"/>
    </row>
    <row r="72" spans="1:28" ht="32" customHeight="1">
      <c r="A72" s="7"/>
      <c r="B72" s="7"/>
      <c r="C72" s="7"/>
      <c r="D72" s="7"/>
      <c r="E72" s="7"/>
      <c r="F72" s="7"/>
      <c r="G72" s="7"/>
      <c r="H72" s="7"/>
      <c r="I72" s="10"/>
      <c r="J72" s="10"/>
      <c r="K72" s="7"/>
      <c r="L72" s="7"/>
      <c r="M72" s="7"/>
      <c r="N72" s="7"/>
      <c r="O72" s="7"/>
      <c r="P72" s="7"/>
      <c r="Q72" s="7"/>
      <c r="R72" s="7"/>
      <c r="S72" s="7"/>
      <c r="T72" s="7"/>
      <c r="U72" s="10"/>
      <c r="V72" s="7"/>
      <c r="W72" s="7"/>
      <c r="X72" s="7"/>
      <c r="Y72" s="7"/>
      <c r="Z72" s="10"/>
      <c r="AA72" s="7"/>
      <c r="AB72" s="7"/>
    </row>
    <row r="73" spans="1:28" ht="32" customHeight="1">
      <c r="A73" s="7"/>
      <c r="B73" s="7"/>
      <c r="C73" s="7"/>
      <c r="D73" s="7"/>
      <c r="E73" s="7"/>
      <c r="F73" s="7"/>
      <c r="G73" s="7"/>
      <c r="H73" s="7"/>
      <c r="I73" s="10"/>
      <c r="J73" s="10"/>
      <c r="K73" s="7"/>
      <c r="L73" s="7"/>
      <c r="M73" s="7"/>
      <c r="N73" s="7"/>
      <c r="O73" s="7"/>
      <c r="P73" s="7"/>
      <c r="Q73" s="7"/>
      <c r="R73" s="7"/>
      <c r="S73" s="7"/>
      <c r="T73" s="7"/>
      <c r="U73" s="10"/>
      <c r="V73" s="7"/>
      <c r="W73" s="7"/>
      <c r="X73" s="7"/>
      <c r="Y73" s="7"/>
      <c r="Z73" s="10"/>
      <c r="AA73" s="7"/>
      <c r="AB73" s="7"/>
    </row>
    <row r="74" spans="1:28" ht="32" customHeight="1">
      <c r="A74" s="7"/>
      <c r="B74" s="7"/>
      <c r="C74" s="7"/>
      <c r="D74" s="7"/>
      <c r="E74" s="7"/>
      <c r="F74" s="7"/>
      <c r="G74" s="7"/>
      <c r="H74" s="7"/>
      <c r="I74" s="10"/>
      <c r="J74" s="10"/>
      <c r="K74" s="7"/>
      <c r="L74" s="7"/>
      <c r="M74" s="7"/>
      <c r="N74" s="7"/>
      <c r="O74" s="7"/>
      <c r="P74" s="7"/>
      <c r="Q74" s="7"/>
      <c r="R74" s="7"/>
      <c r="S74" s="7"/>
      <c r="T74" s="7"/>
      <c r="U74" s="10"/>
      <c r="V74" s="7"/>
      <c r="W74" s="7"/>
      <c r="X74" s="7"/>
      <c r="Y74" s="7"/>
      <c r="Z74" s="10"/>
      <c r="AA74" s="7"/>
      <c r="AB74" s="7"/>
    </row>
    <row r="75" spans="1:28" ht="32" customHeight="1">
      <c r="A75" s="7"/>
      <c r="B75" s="7"/>
      <c r="C75" s="7"/>
      <c r="D75" s="7"/>
      <c r="E75" s="7"/>
      <c r="F75" s="7"/>
      <c r="G75" s="7"/>
      <c r="H75" s="7"/>
      <c r="I75" s="10"/>
      <c r="J75" s="10"/>
      <c r="K75" s="7"/>
      <c r="L75" s="7"/>
      <c r="M75" s="7"/>
      <c r="N75" s="7"/>
      <c r="O75" s="7"/>
      <c r="P75" s="7"/>
      <c r="Q75" s="7"/>
      <c r="R75" s="7"/>
      <c r="S75" s="7"/>
      <c r="T75" s="7"/>
      <c r="U75" s="10"/>
      <c r="V75" s="7"/>
      <c r="W75" s="7"/>
      <c r="X75" s="7"/>
      <c r="Y75" s="7"/>
      <c r="Z75" s="10"/>
      <c r="AA75" s="7"/>
      <c r="AB75" s="7"/>
    </row>
    <row r="76" spans="1:28" ht="32" customHeight="1">
      <c r="A76" s="7"/>
      <c r="B76" s="7"/>
      <c r="C76" s="7"/>
      <c r="D76" s="7"/>
      <c r="E76" s="7"/>
      <c r="F76" s="7"/>
      <c r="G76" s="7"/>
      <c r="H76" s="7"/>
      <c r="I76" s="10"/>
      <c r="J76" s="10"/>
      <c r="K76" s="7"/>
      <c r="L76" s="7"/>
      <c r="M76" s="7"/>
      <c r="N76" s="7"/>
      <c r="O76" s="7"/>
      <c r="P76" s="7"/>
      <c r="Q76" s="7"/>
      <c r="R76" s="7"/>
      <c r="S76" s="7"/>
      <c r="T76" s="7"/>
      <c r="U76" s="10"/>
      <c r="V76" s="7"/>
      <c r="W76" s="7"/>
      <c r="X76" s="7"/>
      <c r="Y76" s="7"/>
      <c r="Z76" s="10"/>
      <c r="AA76" s="7"/>
      <c r="AB76" s="7"/>
    </row>
    <row r="77" spans="1:28" ht="32" customHeight="1">
      <c r="A77" s="7"/>
      <c r="B77" s="7"/>
      <c r="C77" s="7"/>
      <c r="D77" s="7"/>
      <c r="E77" s="7"/>
      <c r="F77" s="7"/>
      <c r="G77" s="7"/>
      <c r="H77" s="7"/>
      <c r="I77" s="10"/>
      <c r="J77" s="10"/>
      <c r="K77" s="7"/>
      <c r="L77" s="7"/>
      <c r="M77" s="7"/>
      <c r="N77" s="7"/>
      <c r="O77" s="7"/>
      <c r="P77" s="7"/>
      <c r="Q77" s="7"/>
      <c r="R77" s="7"/>
      <c r="S77" s="7"/>
      <c r="T77" s="7"/>
      <c r="U77" s="10"/>
      <c r="V77" s="7"/>
      <c r="W77" s="7"/>
      <c r="X77" s="7"/>
      <c r="Y77" s="7"/>
      <c r="Z77" s="10"/>
      <c r="AA77" s="7"/>
      <c r="AB77" s="7"/>
    </row>
    <row r="78" spans="1:28" ht="32" customHeight="1">
      <c r="A78" s="7"/>
      <c r="B78" s="7"/>
      <c r="C78" s="7"/>
      <c r="D78" s="7"/>
      <c r="E78" s="7"/>
      <c r="F78" s="7"/>
      <c r="G78" s="7"/>
      <c r="H78" s="7"/>
      <c r="I78" s="10"/>
      <c r="J78" s="10"/>
      <c r="K78" s="7"/>
      <c r="L78" s="7"/>
      <c r="M78" s="7"/>
      <c r="N78" s="7"/>
      <c r="O78" s="7"/>
      <c r="P78" s="7"/>
      <c r="Q78" s="7"/>
      <c r="R78" s="7"/>
      <c r="S78" s="7"/>
      <c r="T78" s="7"/>
      <c r="U78" s="10"/>
      <c r="V78" s="7"/>
      <c r="W78" s="7"/>
      <c r="X78" s="7"/>
      <c r="Y78" s="7"/>
      <c r="Z78" s="10"/>
      <c r="AA78" s="7"/>
      <c r="AB78" s="7"/>
    </row>
    <row r="79" spans="1:28" ht="32" customHeight="1">
      <c r="A79" s="7"/>
      <c r="B79" s="7"/>
      <c r="C79" s="7"/>
      <c r="D79" s="7"/>
      <c r="E79" s="7"/>
      <c r="F79" s="7"/>
      <c r="G79" s="7"/>
      <c r="H79" s="7"/>
      <c r="I79" s="10"/>
      <c r="J79" s="10"/>
      <c r="K79" s="7"/>
      <c r="L79" s="7"/>
      <c r="M79" s="7"/>
      <c r="N79" s="7"/>
      <c r="O79" s="7"/>
      <c r="P79" s="7"/>
      <c r="Q79" s="7"/>
      <c r="R79" s="7"/>
      <c r="S79" s="7"/>
      <c r="T79" s="7"/>
      <c r="U79" s="10"/>
      <c r="V79" s="7"/>
      <c r="W79" s="7"/>
      <c r="X79" s="7"/>
      <c r="Y79" s="7"/>
      <c r="Z79" s="10"/>
      <c r="AA79" s="7"/>
      <c r="AB79" s="7"/>
    </row>
    <row r="80" spans="1:28" ht="32" customHeight="1">
      <c r="A80" s="7"/>
      <c r="B80" s="7"/>
      <c r="C80" s="7"/>
      <c r="D80" s="7"/>
      <c r="E80" s="7"/>
      <c r="F80" s="7"/>
      <c r="G80" s="7"/>
      <c r="H80" s="7"/>
      <c r="I80" s="10"/>
      <c r="J80" s="10"/>
      <c r="K80" s="7"/>
      <c r="L80" s="7"/>
      <c r="M80" s="7"/>
      <c r="N80" s="7"/>
      <c r="O80" s="7"/>
      <c r="P80" s="7"/>
      <c r="Q80" s="7"/>
      <c r="R80" s="7"/>
      <c r="S80" s="7"/>
      <c r="T80" s="7"/>
      <c r="U80" s="10"/>
      <c r="V80" s="7"/>
      <c r="W80" s="7"/>
      <c r="X80" s="7"/>
      <c r="Y80" s="7"/>
      <c r="Z80" s="10"/>
      <c r="AA80" s="7"/>
      <c r="AB80" s="7"/>
    </row>
    <row r="81" spans="1:28" ht="32" customHeight="1">
      <c r="A81" s="7"/>
      <c r="B81" s="7"/>
      <c r="C81" s="7"/>
      <c r="D81" s="7"/>
      <c r="E81" s="7"/>
      <c r="F81" s="7"/>
      <c r="G81" s="7"/>
      <c r="H81" s="7"/>
      <c r="I81" s="10"/>
      <c r="J81" s="10"/>
      <c r="K81" s="7"/>
      <c r="L81" s="7"/>
      <c r="M81" s="7"/>
      <c r="N81" s="7"/>
      <c r="O81" s="7"/>
      <c r="P81" s="7"/>
      <c r="Q81" s="7"/>
      <c r="R81" s="7"/>
      <c r="S81" s="7"/>
      <c r="T81" s="7"/>
      <c r="U81" s="10"/>
      <c r="V81" s="7"/>
      <c r="W81" s="7"/>
      <c r="X81" s="7"/>
      <c r="Y81" s="7"/>
      <c r="Z81" s="10"/>
      <c r="AA81" s="7"/>
      <c r="AB81" s="7"/>
    </row>
    <row r="82" spans="1:28" ht="32" customHeight="1">
      <c r="A82" s="7"/>
      <c r="B82" s="7"/>
      <c r="C82" s="7"/>
      <c r="D82" s="7"/>
      <c r="E82" s="7"/>
      <c r="F82" s="7"/>
      <c r="G82" s="7"/>
      <c r="H82" s="7"/>
      <c r="I82" s="10"/>
      <c r="J82" s="10"/>
      <c r="K82" s="7"/>
      <c r="L82" s="7"/>
      <c r="M82" s="7"/>
      <c r="N82" s="7"/>
      <c r="O82" s="7"/>
      <c r="P82" s="7"/>
      <c r="Q82" s="7"/>
      <c r="R82" s="7"/>
      <c r="S82" s="7"/>
      <c r="T82" s="7"/>
      <c r="U82" s="10"/>
      <c r="V82" s="7"/>
      <c r="W82" s="7"/>
      <c r="X82" s="7"/>
      <c r="Y82" s="7"/>
      <c r="Z82" s="10"/>
      <c r="AA82" s="7"/>
      <c r="AB82" s="7"/>
    </row>
    <row r="83" spans="1:28" ht="32" customHeight="1">
      <c r="A83" s="7"/>
      <c r="B83" s="7"/>
      <c r="C83" s="7"/>
      <c r="D83" s="7"/>
      <c r="E83" s="7"/>
      <c r="F83" s="7"/>
      <c r="G83" s="7"/>
      <c r="H83" s="7"/>
      <c r="I83" s="10"/>
      <c r="J83" s="10"/>
      <c r="K83" s="7"/>
      <c r="L83" s="7"/>
      <c r="M83" s="7"/>
      <c r="N83" s="7"/>
      <c r="O83" s="7"/>
      <c r="P83" s="7"/>
      <c r="Q83" s="7"/>
      <c r="R83" s="7"/>
      <c r="S83" s="7"/>
      <c r="T83" s="7"/>
      <c r="U83" s="10"/>
      <c r="V83" s="7"/>
      <c r="W83" s="7"/>
      <c r="X83" s="7"/>
      <c r="Y83" s="7"/>
      <c r="Z83" s="10"/>
      <c r="AA83" s="7"/>
      <c r="AB83" s="7"/>
    </row>
    <row r="84" spans="1:28" ht="32" customHeight="1">
      <c r="A84" s="7"/>
      <c r="B84" s="7"/>
      <c r="C84" s="7"/>
      <c r="D84" s="7"/>
      <c r="E84" s="7"/>
      <c r="F84" s="7"/>
      <c r="G84" s="7"/>
      <c r="H84" s="7"/>
      <c r="I84" s="10"/>
      <c r="J84" s="10"/>
      <c r="K84" s="7"/>
      <c r="L84" s="7"/>
      <c r="M84" s="7"/>
      <c r="N84" s="7"/>
      <c r="O84" s="7"/>
      <c r="P84" s="7"/>
      <c r="Q84" s="7"/>
      <c r="R84" s="7"/>
      <c r="S84" s="7"/>
      <c r="T84" s="7"/>
      <c r="U84" s="10"/>
      <c r="V84" s="7"/>
      <c r="W84" s="7"/>
      <c r="X84" s="7"/>
      <c r="Y84" s="7"/>
      <c r="Z84" s="10"/>
      <c r="AA84" s="7"/>
      <c r="AB84" s="7"/>
    </row>
    <row r="85" spans="1:28" ht="32" customHeight="1">
      <c r="A85" s="7"/>
      <c r="B85" s="7"/>
      <c r="C85" s="7"/>
      <c r="D85" s="7"/>
      <c r="E85" s="7"/>
      <c r="F85" s="7"/>
      <c r="G85" s="7"/>
      <c r="H85" s="7"/>
      <c r="I85" s="10"/>
      <c r="J85" s="10"/>
      <c r="K85" s="7"/>
      <c r="L85" s="7"/>
      <c r="M85" s="7"/>
      <c r="N85" s="7"/>
      <c r="O85" s="7"/>
      <c r="P85" s="7"/>
      <c r="Q85" s="7"/>
      <c r="R85" s="7"/>
      <c r="S85" s="7"/>
      <c r="T85" s="7"/>
      <c r="U85" s="10"/>
      <c r="V85" s="7"/>
      <c r="W85" s="7"/>
      <c r="X85" s="7"/>
      <c r="Y85" s="7"/>
      <c r="Z85" s="10"/>
      <c r="AA85" s="7"/>
      <c r="AB85" s="7"/>
    </row>
    <row r="86" spans="1:28" ht="32" customHeight="1">
      <c r="A86" s="7"/>
      <c r="B86" s="7"/>
      <c r="C86" s="7"/>
      <c r="D86" s="7"/>
      <c r="E86" s="7"/>
      <c r="F86" s="7"/>
      <c r="G86" s="7"/>
      <c r="H86" s="7"/>
      <c r="I86" s="10"/>
      <c r="J86" s="10"/>
      <c r="K86" s="7"/>
      <c r="L86" s="7"/>
      <c r="M86" s="7"/>
      <c r="N86" s="7"/>
      <c r="O86" s="7"/>
      <c r="P86" s="7"/>
      <c r="Q86" s="7"/>
      <c r="R86" s="7"/>
      <c r="S86" s="7"/>
      <c r="T86" s="7"/>
      <c r="U86" s="10"/>
      <c r="V86" s="7"/>
      <c r="W86" s="7"/>
      <c r="X86" s="7"/>
      <c r="Y86" s="7"/>
      <c r="Z86" s="10"/>
      <c r="AA86" s="7"/>
      <c r="AB86" s="7"/>
    </row>
    <row r="87" spans="1:28" ht="32" customHeight="1">
      <c r="A87" s="7"/>
      <c r="B87" s="7"/>
      <c r="C87" s="7"/>
      <c r="D87" s="7"/>
      <c r="E87" s="7"/>
      <c r="F87" s="7"/>
      <c r="G87" s="7"/>
      <c r="H87" s="7"/>
      <c r="I87" s="10"/>
      <c r="J87" s="10"/>
      <c r="K87" s="7"/>
      <c r="L87" s="7"/>
      <c r="M87" s="7"/>
      <c r="N87" s="7"/>
      <c r="O87" s="7"/>
      <c r="P87" s="7"/>
      <c r="Q87" s="7"/>
      <c r="R87" s="7"/>
      <c r="S87" s="7"/>
      <c r="T87" s="7"/>
      <c r="U87" s="10"/>
      <c r="V87" s="7"/>
      <c r="W87" s="7"/>
      <c r="X87" s="7"/>
      <c r="Y87" s="7"/>
      <c r="Z87" s="10"/>
      <c r="AA87" s="7"/>
      <c r="AB87" s="7"/>
    </row>
    <row r="88" spans="1:28" ht="32" customHeight="1">
      <c r="A88" s="7"/>
      <c r="B88" s="7"/>
      <c r="C88" s="7"/>
      <c r="D88" s="7"/>
      <c r="E88" s="7"/>
      <c r="F88" s="7"/>
      <c r="G88" s="7"/>
      <c r="H88" s="7"/>
      <c r="I88" s="10"/>
      <c r="J88" s="10"/>
      <c r="K88" s="7"/>
      <c r="L88" s="7"/>
      <c r="M88" s="7"/>
      <c r="N88" s="7"/>
      <c r="O88" s="7"/>
      <c r="P88" s="7"/>
      <c r="Q88" s="7"/>
      <c r="R88" s="7"/>
      <c r="S88" s="7"/>
      <c r="T88" s="7"/>
      <c r="U88" s="10"/>
      <c r="V88" s="7"/>
      <c r="W88" s="7"/>
      <c r="X88" s="7"/>
      <c r="Y88" s="7"/>
      <c r="Z88" s="10"/>
      <c r="AA88" s="7"/>
      <c r="AB88" s="7"/>
    </row>
    <row r="89" spans="1:28" ht="32" customHeight="1">
      <c r="A89" s="7"/>
      <c r="B89" s="7"/>
      <c r="C89" s="7"/>
      <c r="D89" s="7"/>
      <c r="E89" s="7"/>
      <c r="F89" s="7"/>
      <c r="G89" s="7"/>
      <c r="H89" s="7"/>
      <c r="I89" s="10"/>
      <c r="J89" s="10"/>
      <c r="K89" s="7"/>
      <c r="L89" s="7"/>
      <c r="M89" s="7"/>
      <c r="N89" s="7"/>
      <c r="O89" s="7"/>
      <c r="P89" s="7"/>
      <c r="Q89" s="7"/>
      <c r="R89" s="7"/>
      <c r="S89" s="7"/>
      <c r="T89" s="7"/>
      <c r="U89" s="10"/>
      <c r="V89" s="7"/>
      <c r="W89" s="7"/>
      <c r="X89" s="7"/>
      <c r="Y89" s="7"/>
      <c r="Z89" s="10"/>
      <c r="AA89" s="7"/>
      <c r="AB89" s="7"/>
    </row>
    <row r="90" spans="1:28" ht="32" customHeight="1">
      <c r="A90" s="7"/>
      <c r="B90" s="7"/>
      <c r="C90" s="7"/>
      <c r="D90" s="7"/>
      <c r="E90" s="7"/>
      <c r="F90" s="7"/>
      <c r="G90" s="7"/>
      <c r="H90" s="7"/>
      <c r="I90" s="10"/>
      <c r="J90" s="10"/>
      <c r="K90" s="7"/>
      <c r="L90" s="7"/>
      <c r="M90" s="7"/>
      <c r="N90" s="7"/>
      <c r="O90" s="7"/>
      <c r="P90" s="7"/>
      <c r="Q90" s="7"/>
      <c r="R90" s="7"/>
      <c r="S90" s="7"/>
      <c r="T90" s="7"/>
      <c r="U90" s="10"/>
      <c r="V90" s="7"/>
      <c r="W90" s="7"/>
      <c r="X90" s="7"/>
      <c r="Y90" s="7"/>
      <c r="Z90" s="10"/>
      <c r="AA90" s="7"/>
      <c r="AB90" s="7"/>
    </row>
    <row r="91" spans="1:28" ht="32" customHeight="1">
      <c r="A91" s="7"/>
      <c r="B91" s="7"/>
      <c r="C91" s="7"/>
      <c r="D91" s="7"/>
      <c r="E91" s="7"/>
      <c r="F91" s="7"/>
      <c r="G91" s="7"/>
      <c r="H91" s="7"/>
      <c r="I91" s="10"/>
      <c r="J91" s="10"/>
      <c r="K91" s="7"/>
      <c r="L91" s="7"/>
      <c r="M91" s="7"/>
      <c r="N91" s="7"/>
      <c r="O91" s="7"/>
      <c r="P91" s="7"/>
      <c r="Q91" s="7"/>
      <c r="R91" s="7"/>
      <c r="S91" s="7"/>
      <c r="T91" s="7"/>
      <c r="U91" s="10"/>
      <c r="V91" s="7"/>
      <c r="W91" s="7"/>
      <c r="X91" s="7"/>
      <c r="Y91" s="7"/>
      <c r="Z91" s="10"/>
      <c r="AA91" s="7"/>
      <c r="AB91" s="7"/>
    </row>
    <row r="92" spans="1:28" ht="32" customHeight="1">
      <c r="A92" s="7"/>
      <c r="B92" s="7"/>
      <c r="C92" s="7"/>
      <c r="D92" s="7"/>
      <c r="E92" s="7"/>
      <c r="F92" s="7"/>
      <c r="G92" s="7"/>
      <c r="H92" s="7"/>
      <c r="I92" s="10"/>
      <c r="J92" s="10"/>
      <c r="K92" s="7"/>
      <c r="L92" s="7"/>
      <c r="M92" s="7"/>
      <c r="N92" s="7"/>
      <c r="O92" s="7"/>
      <c r="P92" s="7"/>
      <c r="Q92" s="7"/>
      <c r="R92" s="7"/>
      <c r="S92" s="7"/>
      <c r="T92" s="7"/>
      <c r="U92" s="10"/>
      <c r="V92" s="7"/>
      <c r="W92" s="7"/>
      <c r="X92" s="7"/>
      <c r="Y92" s="7"/>
      <c r="Z92" s="10"/>
      <c r="AA92" s="7"/>
      <c r="AB92" s="7"/>
    </row>
    <row r="93" spans="1:28" ht="32" customHeight="1">
      <c r="A93" s="7"/>
      <c r="B93" s="7"/>
      <c r="C93" s="7"/>
      <c r="D93" s="7"/>
      <c r="E93" s="7"/>
      <c r="F93" s="7"/>
      <c r="G93" s="7"/>
      <c r="H93" s="7"/>
      <c r="I93" s="10"/>
      <c r="J93" s="10"/>
      <c r="K93" s="7"/>
      <c r="L93" s="7"/>
      <c r="M93" s="7"/>
      <c r="N93" s="7"/>
      <c r="O93" s="7"/>
      <c r="P93" s="7"/>
      <c r="Q93" s="7"/>
      <c r="R93" s="7"/>
      <c r="S93" s="7"/>
      <c r="T93" s="7"/>
      <c r="U93" s="10"/>
      <c r="V93" s="7"/>
      <c r="W93" s="7"/>
      <c r="X93" s="7"/>
      <c r="Y93" s="7"/>
      <c r="Z93" s="10"/>
      <c r="AA93" s="7"/>
      <c r="AB93" s="7"/>
    </row>
    <row r="94" spans="1:28" ht="32" customHeight="1">
      <c r="A94" s="7"/>
      <c r="B94" s="7"/>
      <c r="C94" s="7"/>
      <c r="D94" s="7"/>
      <c r="E94" s="7"/>
      <c r="F94" s="7"/>
      <c r="G94" s="7"/>
      <c r="H94" s="7"/>
      <c r="I94" s="10"/>
      <c r="J94" s="10"/>
      <c r="K94" s="7"/>
      <c r="L94" s="7"/>
      <c r="M94" s="7"/>
      <c r="N94" s="7"/>
      <c r="O94" s="7"/>
      <c r="P94" s="7"/>
      <c r="Q94" s="7"/>
      <c r="R94" s="7"/>
      <c r="S94" s="7"/>
      <c r="T94" s="7"/>
      <c r="U94" s="10"/>
      <c r="V94" s="7"/>
      <c r="W94" s="7"/>
      <c r="X94" s="7"/>
      <c r="Y94" s="7"/>
      <c r="Z94" s="10"/>
      <c r="AA94" s="7"/>
      <c r="AB94" s="7"/>
    </row>
    <row r="95" spans="1:28" ht="32" customHeight="1">
      <c r="A95" s="7"/>
      <c r="B95" s="7"/>
      <c r="C95" s="7"/>
      <c r="D95" s="7"/>
      <c r="E95" s="7"/>
      <c r="F95" s="7"/>
      <c r="G95" s="7"/>
      <c r="H95" s="7"/>
      <c r="I95" s="10"/>
      <c r="J95" s="10"/>
      <c r="K95" s="7"/>
      <c r="L95" s="7"/>
      <c r="M95" s="7"/>
      <c r="N95" s="7"/>
      <c r="O95" s="7"/>
      <c r="P95" s="7"/>
      <c r="Q95" s="7"/>
      <c r="R95" s="7"/>
      <c r="S95" s="7"/>
      <c r="T95" s="7"/>
      <c r="U95" s="10"/>
      <c r="V95" s="7"/>
      <c r="W95" s="7"/>
      <c r="X95" s="7"/>
      <c r="Y95" s="7"/>
      <c r="Z95" s="10"/>
      <c r="AA95" s="7"/>
      <c r="AB95" s="7"/>
    </row>
    <row r="96" spans="1:28" ht="32" customHeight="1">
      <c r="A96" s="7"/>
      <c r="B96" s="7"/>
      <c r="C96" s="7"/>
      <c r="D96" s="7"/>
      <c r="E96" s="7"/>
      <c r="F96" s="7"/>
      <c r="G96" s="7"/>
      <c r="H96" s="7"/>
      <c r="I96" s="10"/>
      <c r="J96" s="10"/>
      <c r="K96" s="7"/>
      <c r="L96" s="7"/>
      <c r="M96" s="7"/>
      <c r="N96" s="7"/>
      <c r="O96" s="7"/>
      <c r="P96" s="7"/>
      <c r="Q96" s="7"/>
      <c r="R96" s="7"/>
      <c r="S96" s="7"/>
      <c r="T96" s="7"/>
      <c r="U96" s="10"/>
      <c r="V96" s="7"/>
      <c r="W96" s="7"/>
      <c r="X96" s="7"/>
      <c r="Y96" s="7"/>
      <c r="Z96" s="10"/>
      <c r="AA96" s="7"/>
      <c r="AB96" s="7"/>
    </row>
    <row r="97" spans="1:28" ht="32" customHeight="1">
      <c r="A97" s="7"/>
      <c r="B97" s="7"/>
      <c r="C97" s="7"/>
      <c r="D97" s="7"/>
      <c r="E97" s="7"/>
      <c r="F97" s="7"/>
      <c r="G97" s="7"/>
      <c r="H97" s="7"/>
      <c r="I97" s="10"/>
      <c r="J97" s="10"/>
      <c r="K97" s="7"/>
      <c r="L97" s="7"/>
      <c r="M97" s="7"/>
      <c r="N97" s="7"/>
      <c r="O97" s="7"/>
      <c r="P97" s="7"/>
      <c r="Q97" s="7"/>
      <c r="R97" s="7"/>
      <c r="S97" s="7"/>
      <c r="T97" s="7"/>
      <c r="U97" s="10"/>
      <c r="V97" s="7"/>
      <c r="W97" s="7"/>
      <c r="X97" s="7"/>
      <c r="Y97" s="7"/>
      <c r="Z97" s="10"/>
      <c r="AA97" s="7"/>
      <c r="AB97" s="7"/>
    </row>
    <row r="98" spans="1:28" ht="32" customHeight="1">
      <c r="A98" s="7"/>
      <c r="B98" s="7"/>
      <c r="C98" s="7"/>
      <c r="D98" s="7"/>
      <c r="E98" s="7"/>
      <c r="F98" s="7"/>
      <c r="G98" s="7"/>
      <c r="H98" s="7"/>
      <c r="I98" s="10"/>
      <c r="J98" s="10"/>
      <c r="K98" s="7"/>
      <c r="L98" s="7"/>
      <c r="M98" s="7"/>
      <c r="N98" s="7"/>
      <c r="O98" s="7"/>
      <c r="P98" s="7"/>
      <c r="Q98" s="7"/>
      <c r="R98" s="7"/>
      <c r="S98" s="7"/>
      <c r="T98" s="7"/>
      <c r="U98" s="10"/>
      <c r="V98" s="7"/>
      <c r="W98" s="7"/>
      <c r="X98" s="7"/>
      <c r="Y98" s="7"/>
      <c r="Z98" s="10"/>
      <c r="AA98" s="7"/>
      <c r="AB98" s="7"/>
    </row>
    <row r="99" spans="1:28" ht="32" customHeight="1">
      <c r="A99" s="7"/>
      <c r="B99" s="7"/>
      <c r="C99" s="7"/>
      <c r="D99" s="7"/>
      <c r="E99" s="7"/>
      <c r="F99" s="7"/>
      <c r="G99" s="7"/>
      <c r="H99" s="7"/>
      <c r="I99" s="10"/>
      <c r="J99" s="10"/>
      <c r="K99" s="7"/>
      <c r="L99" s="7"/>
      <c r="M99" s="7"/>
      <c r="N99" s="7"/>
      <c r="O99" s="7"/>
      <c r="P99" s="7"/>
      <c r="Q99" s="7"/>
      <c r="R99" s="7"/>
      <c r="S99" s="7"/>
      <c r="T99" s="7"/>
      <c r="U99" s="10"/>
      <c r="V99" s="7"/>
      <c r="W99" s="7"/>
      <c r="X99" s="7"/>
      <c r="Y99" s="7"/>
      <c r="Z99" s="10"/>
      <c r="AA99" s="7"/>
      <c r="AB99" s="7"/>
    </row>
    <row r="100" spans="1:28" ht="32" customHeight="1">
      <c r="A100" s="7"/>
      <c r="B100" s="7"/>
      <c r="C100" s="7"/>
      <c r="D100" s="7"/>
      <c r="E100" s="7"/>
      <c r="F100" s="7"/>
      <c r="G100" s="7"/>
      <c r="H100" s="7"/>
      <c r="I100" s="10"/>
      <c r="J100" s="10"/>
      <c r="K100" s="7"/>
      <c r="L100" s="7"/>
      <c r="M100" s="7"/>
      <c r="N100" s="7"/>
      <c r="O100" s="7"/>
      <c r="P100" s="7"/>
      <c r="Q100" s="7"/>
      <c r="R100" s="7"/>
      <c r="S100" s="7"/>
      <c r="T100" s="7"/>
      <c r="U100" s="10"/>
      <c r="V100" s="7"/>
      <c r="W100" s="7"/>
      <c r="X100" s="7"/>
      <c r="Y100" s="7"/>
      <c r="Z100" s="10"/>
      <c r="AA100" s="7"/>
      <c r="AB100" s="7"/>
    </row>
    <row r="101" spans="1:28" ht="32" customHeight="1">
      <c r="A101" s="7"/>
      <c r="B101" s="7"/>
      <c r="C101" s="7"/>
      <c r="D101" s="7"/>
      <c r="E101" s="7"/>
      <c r="F101" s="7"/>
      <c r="G101" s="7"/>
      <c r="H101" s="7"/>
      <c r="I101" s="10"/>
      <c r="J101" s="10"/>
      <c r="K101" s="7"/>
      <c r="L101" s="7"/>
      <c r="M101" s="7"/>
      <c r="N101" s="7"/>
      <c r="O101" s="7"/>
      <c r="P101" s="7"/>
      <c r="Q101" s="7"/>
      <c r="R101" s="7"/>
      <c r="S101" s="7"/>
      <c r="T101" s="7"/>
      <c r="U101" s="10"/>
      <c r="V101" s="7"/>
      <c r="W101" s="7"/>
      <c r="X101" s="7"/>
      <c r="Y101" s="7"/>
      <c r="Z101" s="10"/>
      <c r="AA101" s="7"/>
      <c r="AB101" s="7"/>
    </row>
    <row r="102" spans="1:28" ht="32" customHeight="1">
      <c r="A102" s="7"/>
      <c r="B102" s="7"/>
      <c r="C102" s="7"/>
      <c r="D102" s="7"/>
      <c r="E102" s="7"/>
      <c r="F102" s="7"/>
      <c r="G102" s="7"/>
      <c r="H102" s="7"/>
      <c r="I102" s="10"/>
      <c r="J102" s="10"/>
      <c r="K102" s="7"/>
      <c r="L102" s="7"/>
      <c r="M102" s="7"/>
      <c r="N102" s="7"/>
      <c r="O102" s="7"/>
      <c r="P102" s="7"/>
      <c r="Q102" s="7"/>
      <c r="R102" s="7"/>
      <c r="S102" s="7"/>
      <c r="T102" s="7"/>
      <c r="U102" s="10"/>
      <c r="V102" s="7"/>
      <c r="W102" s="7"/>
      <c r="X102" s="7"/>
      <c r="Y102" s="7"/>
      <c r="Z102" s="10"/>
      <c r="AA102" s="7"/>
      <c r="AB102" s="7"/>
    </row>
    <row r="103" spans="1:28" ht="32" customHeight="1">
      <c r="A103" s="7"/>
      <c r="B103" s="7"/>
      <c r="C103" s="7"/>
      <c r="D103" s="7"/>
      <c r="E103" s="7"/>
      <c r="F103" s="7"/>
      <c r="G103" s="7"/>
      <c r="H103" s="7"/>
      <c r="I103" s="10"/>
      <c r="J103" s="10"/>
      <c r="K103" s="7"/>
      <c r="L103" s="7"/>
      <c r="M103" s="7"/>
      <c r="N103" s="7"/>
      <c r="O103" s="7"/>
      <c r="P103" s="7"/>
      <c r="Q103" s="7"/>
      <c r="R103" s="7"/>
      <c r="S103" s="7"/>
      <c r="T103" s="7"/>
      <c r="U103" s="10"/>
      <c r="V103" s="7"/>
      <c r="W103" s="7"/>
      <c r="X103" s="7"/>
      <c r="Y103" s="7"/>
      <c r="Z103" s="10"/>
      <c r="AA103" s="7"/>
      <c r="AB103" s="7"/>
    </row>
    <row r="104" spans="1:28" ht="32" customHeight="1">
      <c r="A104" s="7"/>
      <c r="B104" s="7"/>
      <c r="C104" s="7"/>
      <c r="D104" s="7"/>
      <c r="E104" s="7"/>
      <c r="F104" s="7"/>
      <c r="G104" s="7"/>
      <c r="H104" s="7"/>
      <c r="I104" s="10"/>
      <c r="J104" s="10"/>
      <c r="K104" s="7"/>
      <c r="L104" s="7"/>
      <c r="M104" s="7"/>
      <c r="N104" s="7"/>
      <c r="O104" s="7"/>
      <c r="P104" s="7"/>
      <c r="Q104" s="7"/>
      <c r="R104" s="7"/>
      <c r="S104" s="7"/>
      <c r="T104" s="7"/>
      <c r="U104" s="10"/>
      <c r="V104" s="7"/>
      <c r="W104" s="7"/>
      <c r="X104" s="7"/>
      <c r="Y104" s="7"/>
      <c r="Z104" s="10"/>
      <c r="AA104" s="7"/>
      <c r="AB104" s="7"/>
    </row>
    <row r="105" spans="1:28" ht="32" customHeight="1">
      <c r="A105" s="7"/>
      <c r="B105" s="7"/>
      <c r="C105" s="7"/>
      <c r="D105" s="7"/>
      <c r="E105" s="7"/>
      <c r="F105" s="7"/>
      <c r="G105" s="7"/>
      <c r="H105" s="7"/>
      <c r="I105" s="10"/>
      <c r="J105" s="10"/>
      <c r="K105" s="7"/>
      <c r="L105" s="7"/>
      <c r="M105" s="7"/>
      <c r="N105" s="7"/>
      <c r="O105" s="7"/>
      <c r="P105" s="7"/>
      <c r="Q105" s="7"/>
      <c r="R105" s="7"/>
      <c r="S105" s="7"/>
      <c r="T105" s="7"/>
      <c r="U105" s="10"/>
      <c r="V105" s="7"/>
      <c r="W105" s="7"/>
      <c r="X105" s="7"/>
      <c r="Y105" s="7"/>
      <c r="Z105" s="10"/>
      <c r="AA105" s="7"/>
      <c r="AB105" s="7"/>
    </row>
  </sheetData>
  <autoFilter ref="A5:AB105"/>
  <mergeCells count="2">
    <mergeCell ref="A1:AB1"/>
    <mergeCell ref="A2:AB3"/>
  </mergeCells>
  <conditionalFormatting sqref="W6:W105">
    <cfRule type="containsText" dxfId="0" priority="1" operator="containsText" text="Lệch">
      <formula>NOT(ISERROR(SEARCH("Lệch",W6)))</formula>
    </cfRule>
    <cfRule type="containsText" dxfId="1" priority="2" operator="containsText" text="Thiếu">
      <formula>NOT(ISERROR(SEARCH("Thiếu",W6)))</formula>
    </cfRule>
    <cfRule type="containsText" dxfId="0" priority="3" operator="containsText" text="Cần sửa">
      <formula>NOT(ISERROR(SEARCH("Cần sửa",W6)))</formula>
    </cfRule>
    <cfRule type="containsText" dxfId="1" priority="4" operator="containsText" text="Chưa kiểm">
      <formula>NOT(ISERROR(SEARCH("Chưa kiểm",W6)))</formula>
    </cfRule>
    <cfRule type="containsText" dxfId="2" priority="5" operator="containsText" text="Khớp">
      <formula>NOT(ISERROR(SEARCH("Khớp",W6)))</formula>
    </cfRule>
    <cfRule type="containsText" dxfId="2" priority="6" operator="containsText" text="Đã kiểm tra">
      <formula>NOT(ISERROR(SEARCH("Đã kiểm tra",W6)))</formula>
    </cfRule>
  </conditionalFormatting>
  <conditionalFormatting sqref="X6:X105">
    <cfRule type="containsText" dxfId="0" priority="7" operator="containsText" text="Lệch">
      <formula>NOT(ISERROR(SEARCH("Lệch",X6)))</formula>
    </cfRule>
    <cfRule type="containsText" dxfId="1" priority="8" operator="containsText" text="Thiếu">
      <formula>NOT(ISERROR(SEARCH("Thiếu",X6)))</formula>
    </cfRule>
    <cfRule type="containsText" dxfId="0" priority="9" operator="containsText" text="Cần sửa">
      <formula>NOT(ISERROR(SEARCH("Cần sửa",X6)))</formula>
    </cfRule>
    <cfRule type="containsText" dxfId="1" priority="10" operator="containsText" text="Chưa kiểm">
      <formula>NOT(ISERROR(SEARCH("Chưa kiểm",X6)))</formula>
    </cfRule>
    <cfRule type="containsText" dxfId="2" priority="11" operator="containsText" text="Khớp">
      <formula>NOT(ISERROR(SEARCH("Khớp",X6)))</formula>
    </cfRule>
    <cfRule type="containsText" dxfId="2" priority="12" operator="containsText" text="Đã kiểm tra">
      <formula>NOT(ISERROR(SEARCH("Đã kiểm tra",X6)))</formula>
    </cfRule>
  </conditionalFormatting>
  <dataValidations count="5">
    <dataValidation type="list" allowBlank="1" showInputMessage="1" showErrorMessage="1" errorTitle="Chọn trong danh sách" error="Dùng một giá trị trong danh sách." promptTitle="Chọn trạng thái" prompt="Chọn theo kết quả kiểm tra thực tế." sqref="D6:D105">
      <formula1>"Декларация о соответствии,Сертификат соответствия,СГР,Khác: ghi rõ căn cứ"</formula1>
    </dataValidation>
    <dataValidation type="list" allowBlank="1" showInputMessage="1" showErrorMessage="1" errorTitle="Chọn trong danh sách" error="Dùng một giá trị trong danh sách." promptTitle="Chọn trạng thái" prompt="Chọn theo kết quả kiểm tra thực tế." sqref="K6:K105">
      <formula1>"Có,Không,Chưa xác định"</formula1>
    </dataValidation>
    <dataValidation type="list" allowBlank="1" showInputMessage="1" showErrorMessage="1" errorTitle="Chọn trong danh sách" error="Dùng một giá trị trong danh sách." promptTitle="Chọn trạng thái" prompt="Chọn theo kết quả kiểm tra thực tế." sqref="T6:T105">
      <formula1>"Sản xuất hàng loạt,Theo lô,Một sản phẩm,Chưa xác định"</formula1>
    </dataValidation>
    <dataValidation type="list" allowBlank="1" showInputMessage="1" showErrorMessage="1" errorTitle="Chọn trong danh sách" error="Dùng một giá trị trong danh sách." promptTitle="Chọn trạng thái" prompt="Chọn theo kết quả kiểm tra thực tế." sqref="W6:W105">
      <formula1>"Chưa kiểm,Có, đã đối chiếu,Thiếu,Không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X6:X105">
      <formula1>"Chưa kiểm,Có, đã đối chiếu,Thiếu,Không áp dụng"</formula1>
    </dataValidation>
  </dataValidations>
  <pageMargins left="0.3" right="0.3" top="0.4" bottom="0.4" header="0.3" footer="0.3"/>
  <pageSetup paperSize="9" fitToHeight="0" orientation="landscape"/>
  <headerFooter>
    <oddFooter>&amp;LWB • GTIN • TN VED | Mẫu nội bộ&amp;C06/10/2026&amp;RTrang &amp;P / &amp;N</oddFooter>
  </headerFooter>
</worksheet>
</file>

<file path=xl/worksheets/sheet5.xml><?xml version="1.0" encoding="utf-8"?>
<worksheet xmlns="http://schemas.openxmlformats.org/spreadsheetml/2006/main" xmlns:r="http://schemas.openxmlformats.org/officeDocument/2006/relationships">
  <sheetPr>
    <tabColor rgb="FF087E8B"/>
    <pageSetUpPr fitToPage="1"/>
  </sheetPr>
  <dimension ref="A1:X1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5.7109375" customWidth="1"/>
    <col min="2" max="3" width="22.7109375" customWidth="1"/>
    <col min="4" max="4" width="65.7109375" customWidth="1"/>
    <col min="5" max="5" width="22.7109375" customWidth="1"/>
    <col min="6" max="6" width="26.7109375" customWidth="1"/>
    <col min="7" max="10" width="22.7109375" customWidth="1"/>
    <col min="11" max="11" width="50.7109375" customWidth="1"/>
    <col min="12" max="13" width="22.7109375" customWidth="1"/>
    <col min="14" max="14" width="35.7109375" customWidth="1"/>
    <col min="15" max="18" width="22.7109375" customWidth="1"/>
    <col min="19" max="19" width="40.7109375" customWidth="1"/>
    <col min="20" max="21" width="22.7109375" customWidth="1"/>
    <col min="22" max="22" width="50.7109375" customWidth="1"/>
    <col min="23" max="23" width="33.7109375" customWidth="1"/>
    <col min="24" max="24" width="45.7109375" customWidth="1"/>
  </cols>
  <sheetData>
    <row r="1" spans="1:24" ht="34" customHeight="1">
      <c r="A1" s="1" t="s">
        <v>154</v>
      </c>
      <c r="B1" s="1"/>
      <c r="C1" s="1"/>
      <c r="D1" s="1"/>
      <c r="E1" s="1"/>
      <c r="F1" s="1"/>
      <c r="G1" s="1"/>
      <c r="H1" s="1"/>
      <c r="I1" s="1"/>
      <c r="J1" s="1"/>
      <c r="K1" s="1"/>
      <c r="L1" s="1"/>
      <c r="M1" s="1"/>
      <c r="N1" s="1"/>
      <c r="O1" s="1"/>
      <c r="P1" s="1"/>
      <c r="Q1" s="1"/>
      <c r="R1" s="1"/>
      <c r="S1" s="1"/>
      <c r="T1" s="1"/>
      <c r="U1" s="1"/>
      <c r="V1" s="1"/>
      <c r="W1" s="1"/>
      <c r="X1" s="1"/>
    </row>
    <row r="2" spans="1:24" ht="25" customHeight="1">
      <c r="A2" s="2" t="s">
        <v>155</v>
      </c>
      <c r="B2" s="2"/>
      <c r="C2" s="2"/>
      <c r="D2" s="2"/>
      <c r="E2" s="2"/>
      <c r="F2" s="2"/>
      <c r="G2" s="2"/>
      <c r="H2" s="2"/>
      <c r="I2" s="2"/>
      <c r="J2" s="2"/>
      <c r="K2" s="2"/>
      <c r="L2" s="2"/>
      <c r="M2" s="2"/>
      <c r="N2" s="2"/>
      <c r="O2" s="2"/>
      <c r="P2" s="2"/>
      <c r="Q2" s="2"/>
      <c r="R2" s="2"/>
      <c r="S2" s="2"/>
      <c r="T2" s="2"/>
      <c r="U2" s="2"/>
      <c r="V2" s="2"/>
      <c r="W2" s="2"/>
      <c r="X2" s="2"/>
    </row>
    <row r="3" spans="1:24" ht="25" customHeight="1">
      <c r="A3" s="2"/>
      <c r="B3" s="2"/>
      <c r="C3" s="2"/>
      <c r="D3" s="2"/>
      <c r="E3" s="2"/>
      <c r="F3" s="2"/>
      <c r="G3" s="2"/>
      <c r="H3" s="2"/>
      <c r="I3" s="2"/>
      <c r="J3" s="2"/>
      <c r="K3" s="2"/>
      <c r="L3" s="2"/>
      <c r="M3" s="2"/>
      <c r="N3" s="2"/>
      <c r="O3" s="2"/>
      <c r="P3" s="2"/>
      <c r="Q3" s="2"/>
      <c r="R3" s="2"/>
      <c r="S3" s="2"/>
      <c r="T3" s="2"/>
      <c r="U3" s="2"/>
      <c r="V3" s="2"/>
      <c r="W3" s="2"/>
      <c r="X3" s="2"/>
    </row>
    <row r="5" spans="1:24" ht="62" customHeight="1">
      <c r="A5" s="6" t="s">
        <v>156</v>
      </c>
      <c r="B5" s="6" t="s">
        <v>52</v>
      </c>
      <c r="C5" s="6" t="s">
        <v>157</v>
      </c>
      <c r="D5" s="6" t="s">
        <v>158</v>
      </c>
      <c r="E5" s="6" t="s">
        <v>159</v>
      </c>
      <c r="F5" s="6" t="s">
        <v>160</v>
      </c>
      <c r="G5" s="6" t="s">
        <v>161</v>
      </c>
      <c r="H5" s="6" t="s">
        <v>162</v>
      </c>
      <c r="I5" s="6" t="s">
        <v>163</v>
      </c>
      <c r="J5" s="6" t="s">
        <v>164</v>
      </c>
      <c r="K5" s="6" t="s">
        <v>165</v>
      </c>
      <c r="L5" s="6" t="s">
        <v>166</v>
      </c>
      <c r="M5" s="6" t="s">
        <v>167</v>
      </c>
      <c r="N5" s="6" t="s">
        <v>168</v>
      </c>
      <c r="O5" s="6" t="s">
        <v>169</v>
      </c>
      <c r="P5" s="6" t="s">
        <v>170</v>
      </c>
      <c r="Q5" s="6" t="s">
        <v>171</v>
      </c>
      <c r="R5" s="6" t="s">
        <v>172</v>
      </c>
      <c r="S5" s="6" t="s">
        <v>173</v>
      </c>
      <c r="T5" s="6" t="s">
        <v>174</v>
      </c>
      <c r="U5" s="6" t="s">
        <v>175</v>
      </c>
      <c r="V5" s="6" t="s">
        <v>176</v>
      </c>
      <c r="W5" s="6" t="s">
        <v>177</v>
      </c>
      <c r="X5" s="6" t="s">
        <v>178</v>
      </c>
    </row>
    <row r="6" spans="1:24" ht="32" customHeight="1">
      <c r="A6" s="7"/>
      <c r="B6" s="7"/>
      <c r="C6" s="7"/>
      <c r="D6" s="7"/>
      <c r="E6" s="7"/>
      <c r="F6" s="7"/>
      <c r="G6" s="7"/>
      <c r="H6" s="10"/>
      <c r="I6" s="10"/>
      <c r="J6" s="10"/>
      <c r="K6" s="7"/>
      <c r="L6" s="7"/>
      <c r="M6" s="7"/>
      <c r="N6" s="7"/>
      <c r="O6" s="7"/>
      <c r="P6" s="7"/>
      <c r="Q6" s="10"/>
      <c r="R6" s="10"/>
      <c r="S6" s="7"/>
      <c r="T6" s="10"/>
      <c r="U6" s="10"/>
      <c r="V6" s="7"/>
      <c r="W6" s="9">
        <f>IF(D6="","",IF(SUMPRODUCT(--EXACT($D$6:$D$105,D6))&gt;1,"TRÙNG MÃ VẬT LÝ",""))</f>
        <v/>
      </c>
      <c r="X6" s="7"/>
    </row>
    <row r="7" spans="1:24" ht="32" customHeight="1">
      <c r="A7" s="7"/>
      <c r="B7" s="7"/>
      <c r="C7" s="7"/>
      <c r="D7" s="7"/>
      <c r="E7" s="7"/>
      <c r="F7" s="7"/>
      <c r="G7" s="7"/>
      <c r="H7" s="10"/>
      <c r="I7" s="10"/>
      <c r="J7" s="10"/>
      <c r="K7" s="7"/>
      <c r="L7" s="7"/>
      <c r="M7" s="7"/>
      <c r="N7" s="7"/>
      <c r="O7" s="7"/>
      <c r="P7" s="7"/>
      <c r="Q7" s="10"/>
      <c r="R7" s="10"/>
      <c r="S7" s="7"/>
      <c r="T7" s="10"/>
      <c r="U7" s="10"/>
      <c r="V7" s="7"/>
      <c r="W7" s="9">
        <f>IF(D7="","",IF(SUMPRODUCT(--EXACT($D$6:$D$105,D7))&gt;1,"TRÙNG MÃ VẬT LÝ",""))</f>
        <v/>
      </c>
      <c r="X7" s="7"/>
    </row>
    <row r="8" spans="1:24" ht="32" customHeight="1">
      <c r="A8" s="7"/>
      <c r="B8" s="7"/>
      <c r="C8" s="7"/>
      <c r="D8" s="7"/>
      <c r="E8" s="7"/>
      <c r="F8" s="7"/>
      <c r="G8" s="7"/>
      <c r="H8" s="10"/>
      <c r="I8" s="10"/>
      <c r="J8" s="10"/>
      <c r="K8" s="7"/>
      <c r="L8" s="7"/>
      <c r="M8" s="7"/>
      <c r="N8" s="7"/>
      <c r="O8" s="7"/>
      <c r="P8" s="7"/>
      <c r="Q8" s="10"/>
      <c r="R8" s="10"/>
      <c r="S8" s="7"/>
      <c r="T8" s="10"/>
      <c r="U8" s="10"/>
      <c r="V8" s="7"/>
      <c r="W8" s="9">
        <f>IF(D8="","",IF(SUMPRODUCT(--EXACT($D$6:$D$105,D8))&gt;1,"TRÙNG MÃ VẬT LÝ",""))</f>
        <v/>
      </c>
      <c r="X8" s="7"/>
    </row>
    <row r="9" spans="1:24" ht="32" customHeight="1">
      <c r="A9" s="7"/>
      <c r="B9" s="7"/>
      <c r="C9" s="7"/>
      <c r="D9" s="7"/>
      <c r="E9" s="7"/>
      <c r="F9" s="7"/>
      <c r="G9" s="7"/>
      <c r="H9" s="10"/>
      <c r="I9" s="10"/>
      <c r="J9" s="10"/>
      <c r="K9" s="7"/>
      <c r="L9" s="7"/>
      <c r="M9" s="7"/>
      <c r="N9" s="7"/>
      <c r="O9" s="7"/>
      <c r="P9" s="7"/>
      <c r="Q9" s="10"/>
      <c r="R9" s="10"/>
      <c r="S9" s="7"/>
      <c r="T9" s="10"/>
      <c r="U9" s="10"/>
      <c r="V9" s="7"/>
      <c r="W9" s="9">
        <f>IF(D9="","",IF(SUMPRODUCT(--EXACT($D$6:$D$105,D9))&gt;1,"TRÙNG MÃ VẬT LÝ",""))</f>
        <v/>
      </c>
      <c r="X9" s="7"/>
    </row>
    <row r="10" spans="1:24" ht="32" customHeight="1">
      <c r="A10" s="7"/>
      <c r="B10" s="7"/>
      <c r="C10" s="7"/>
      <c r="D10" s="7"/>
      <c r="E10" s="7"/>
      <c r="F10" s="7"/>
      <c r="G10" s="7"/>
      <c r="H10" s="10"/>
      <c r="I10" s="10"/>
      <c r="J10" s="10"/>
      <c r="K10" s="7"/>
      <c r="L10" s="7"/>
      <c r="M10" s="7"/>
      <c r="N10" s="7"/>
      <c r="O10" s="7"/>
      <c r="P10" s="7"/>
      <c r="Q10" s="10"/>
      <c r="R10" s="10"/>
      <c r="S10" s="7"/>
      <c r="T10" s="10"/>
      <c r="U10" s="10"/>
      <c r="V10" s="7"/>
      <c r="W10" s="9">
        <f>IF(D10="","",IF(SUMPRODUCT(--EXACT($D$6:$D$105,D10))&gt;1,"TRÙNG MÃ VẬT LÝ",""))</f>
        <v/>
      </c>
      <c r="X10" s="7"/>
    </row>
    <row r="11" spans="1:24" ht="32" customHeight="1">
      <c r="A11" s="7"/>
      <c r="B11" s="7"/>
      <c r="C11" s="7"/>
      <c r="D11" s="7"/>
      <c r="E11" s="7"/>
      <c r="F11" s="7"/>
      <c r="G11" s="7"/>
      <c r="H11" s="10"/>
      <c r="I11" s="10"/>
      <c r="J11" s="10"/>
      <c r="K11" s="7"/>
      <c r="L11" s="7"/>
      <c r="M11" s="7"/>
      <c r="N11" s="7"/>
      <c r="O11" s="7"/>
      <c r="P11" s="7"/>
      <c r="Q11" s="10"/>
      <c r="R11" s="10"/>
      <c r="S11" s="7"/>
      <c r="T11" s="10"/>
      <c r="U11" s="10"/>
      <c r="V11" s="7"/>
      <c r="W11" s="9">
        <f>IF(D11="","",IF(SUMPRODUCT(--EXACT($D$6:$D$105,D11))&gt;1,"TRÙNG MÃ VẬT LÝ",""))</f>
        <v/>
      </c>
      <c r="X11" s="7"/>
    </row>
    <row r="12" spans="1:24" ht="32" customHeight="1">
      <c r="A12" s="7"/>
      <c r="B12" s="7"/>
      <c r="C12" s="7"/>
      <c r="D12" s="7"/>
      <c r="E12" s="7"/>
      <c r="F12" s="7"/>
      <c r="G12" s="7"/>
      <c r="H12" s="10"/>
      <c r="I12" s="10"/>
      <c r="J12" s="10"/>
      <c r="K12" s="7"/>
      <c r="L12" s="7"/>
      <c r="M12" s="7"/>
      <c r="N12" s="7"/>
      <c r="O12" s="7"/>
      <c r="P12" s="7"/>
      <c r="Q12" s="10"/>
      <c r="R12" s="10"/>
      <c r="S12" s="7"/>
      <c r="T12" s="10"/>
      <c r="U12" s="10"/>
      <c r="V12" s="7"/>
      <c r="W12" s="9">
        <f>IF(D12="","",IF(SUMPRODUCT(--EXACT($D$6:$D$105,D12))&gt;1,"TRÙNG MÃ VẬT LÝ",""))</f>
        <v/>
      </c>
      <c r="X12" s="7"/>
    </row>
    <row r="13" spans="1:24" ht="32" customHeight="1">
      <c r="A13" s="7"/>
      <c r="B13" s="7"/>
      <c r="C13" s="7"/>
      <c r="D13" s="7"/>
      <c r="E13" s="7"/>
      <c r="F13" s="7"/>
      <c r="G13" s="7"/>
      <c r="H13" s="10"/>
      <c r="I13" s="10"/>
      <c r="J13" s="10"/>
      <c r="K13" s="7"/>
      <c r="L13" s="7"/>
      <c r="M13" s="7"/>
      <c r="N13" s="7"/>
      <c r="O13" s="7"/>
      <c r="P13" s="7"/>
      <c r="Q13" s="10"/>
      <c r="R13" s="10"/>
      <c r="S13" s="7"/>
      <c r="T13" s="10"/>
      <c r="U13" s="10"/>
      <c r="V13" s="7"/>
      <c r="W13" s="9">
        <f>IF(D13="","",IF(SUMPRODUCT(--EXACT($D$6:$D$105,D13))&gt;1,"TRÙNG MÃ VẬT LÝ",""))</f>
        <v/>
      </c>
      <c r="X13" s="7"/>
    </row>
    <row r="14" spans="1:24" ht="32" customHeight="1">
      <c r="A14" s="7"/>
      <c r="B14" s="7"/>
      <c r="C14" s="7"/>
      <c r="D14" s="7"/>
      <c r="E14" s="7"/>
      <c r="F14" s="7"/>
      <c r="G14" s="7"/>
      <c r="H14" s="10"/>
      <c r="I14" s="10"/>
      <c r="J14" s="10"/>
      <c r="K14" s="7"/>
      <c r="L14" s="7"/>
      <c r="M14" s="7"/>
      <c r="N14" s="7"/>
      <c r="O14" s="7"/>
      <c r="P14" s="7"/>
      <c r="Q14" s="10"/>
      <c r="R14" s="10"/>
      <c r="S14" s="7"/>
      <c r="T14" s="10"/>
      <c r="U14" s="10"/>
      <c r="V14" s="7"/>
      <c r="W14" s="9">
        <f>IF(D14="","",IF(SUMPRODUCT(--EXACT($D$6:$D$105,D14))&gt;1,"TRÙNG MÃ VẬT LÝ",""))</f>
        <v/>
      </c>
      <c r="X14" s="7"/>
    </row>
    <row r="15" spans="1:24" ht="32" customHeight="1">
      <c r="A15" s="7"/>
      <c r="B15" s="7"/>
      <c r="C15" s="7"/>
      <c r="D15" s="7"/>
      <c r="E15" s="7"/>
      <c r="F15" s="7"/>
      <c r="G15" s="7"/>
      <c r="H15" s="10"/>
      <c r="I15" s="10"/>
      <c r="J15" s="10"/>
      <c r="K15" s="7"/>
      <c r="L15" s="7"/>
      <c r="M15" s="7"/>
      <c r="N15" s="7"/>
      <c r="O15" s="7"/>
      <c r="P15" s="7"/>
      <c r="Q15" s="10"/>
      <c r="R15" s="10"/>
      <c r="S15" s="7"/>
      <c r="T15" s="10"/>
      <c r="U15" s="10"/>
      <c r="V15" s="7"/>
      <c r="W15" s="9">
        <f>IF(D15="","",IF(SUMPRODUCT(--EXACT($D$6:$D$105,D15))&gt;1,"TRÙNG MÃ VẬT LÝ",""))</f>
        <v/>
      </c>
      <c r="X15" s="7"/>
    </row>
    <row r="16" spans="1:24" ht="32" customHeight="1">
      <c r="A16" s="7"/>
      <c r="B16" s="7"/>
      <c r="C16" s="7"/>
      <c r="D16" s="7"/>
      <c r="E16" s="7"/>
      <c r="F16" s="7"/>
      <c r="G16" s="7"/>
      <c r="H16" s="10"/>
      <c r="I16" s="10"/>
      <c r="J16" s="10"/>
      <c r="K16" s="7"/>
      <c r="L16" s="7"/>
      <c r="M16" s="7"/>
      <c r="N16" s="7"/>
      <c r="O16" s="7"/>
      <c r="P16" s="7"/>
      <c r="Q16" s="10"/>
      <c r="R16" s="10"/>
      <c r="S16" s="7"/>
      <c r="T16" s="10"/>
      <c r="U16" s="10"/>
      <c r="V16" s="7"/>
      <c r="W16" s="9">
        <f>IF(D16="","",IF(SUMPRODUCT(--EXACT($D$6:$D$105,D16))&gt;1,"TRÙNG MÃ VẬT LÝ",""))</f>
        <v/>
      </c>
      <c r="X16" s="7"/>
    </row>
    <row r="17" spans="1:24" ht="32" customHeight="1">
      <c r="A17" s="7"/>
      <c r="B17" s="7"/>
      <c r="C17" s="7"/>
      <c r="D17" s="7"/>
      <c r="E17" s="7"/>
      <c r="F17" s="7"/>
      <c r="G17" s="7"/>
      <c r="H17" s="10"/>
      <c r="I17" s="10"/>
      <c r="J17" s="10"/>
      <c r="K17" s="7"/>
      <c r="L17" s="7"/>
      <c r="M17" s="7"/>
      <c r="N17" s="7"/>
      <c r="O17" s="7"/>
      <c r="P17" s="7"/>
      <c r="Q17" s="10"/>
      <c r="R17" s="10"/>
      <c r="S17" s="7"/>
      <c r="T17" s="10"/>
      <c r="U17" s="10"/>
      <c r="V17" s="7"/>
      <c r="W17" s="9">
        <f>IF(D17="","",IF(SUMPRODUCT(--EXACT($D$6:$D$105,D17))&gt;1,"TRÙNG MÃ VẬT LÝ",""))</f>
        <v/>
      </c>
      <c r="X17" s="7"/>
    </row>
    <row r="18" spans="1:24" ht="32" customHeight="1">
      <c r="A18" s="7"/>
      <c r="B18" s="7"/>
      <c r="C18" s="7"/>
      <c r="D18" s="7"/>
      <c r="E18" s="7"/>
      <c r="F18" s="7"/>
      <c r="G18" s="7"/>
      <c r="H18" s="10"/>
      <c r="I18" s="10"/>
      <c r="J18" s="10"/>
      <c r="K18" s="7"/>
      <c r="L18" s="7"/>
      <c r="M18" s="7"/>
      <c r="N18" s="7"/>
      <c r="O18" s="7"/>
      <c r="P18" s="7"/>
      <c r="Q18" s="10"/>
      <c r="R18" s="10"/>
      <c r="S18" s="7"/>
      <c r="T18" s="10"/>
      <c r="U18" s="10"/>
      <c r="V18" s="7"/>
      <c r="W18" s="9">
        <f>IF(D18="","",IF(SUMPRODUCT(--EXACT($D$6:$D$105,D18))&gt;1,"TRÙNG MÃ VẬT LÝ",""))</f>
        <v/>
      </c>
      <c r="X18" s="7"/>
    </row>
    <row r="19" spans="1:24" ht="32" customHeight="1">
      <c r="A19" s="7"/>
      <c r="B19" s="7"/>
      <c r="C19" s="7"/>
      <c r="D19" s="7"/>
      <c r="E19" s="7"/>
      <c r="F19" s="7"/>
      <c r="G19" s="7"/>
      <c r="H19" s="10"/>
      <c r="I19" s="10"/>
      <c r="J19" s="10"/>
      <c r="K19" s="7"/>
      <c r="L19" s="7"/>
      <c r="M19" s="7"/>
      <c r="N19" s="7"/>
      <c r="O19" s="7"/>
      <c r="P19" s="7"/>
      <c r="Q19" s="10"/>
      <c r="R19" s="10"/>
      <c r="S19" s="7"/>
      <c r="T19" s="10"/>
      <c r="U19" s="10"/>
      <c r="V19" s="7"/>
      <c r="W19" s="9">
        <f>IF(D19="","",IF(SUMPRODUCT(--EXACT($D$6:$D$105,D19))&gt;1,"TRÙNG MÃ VẬT LÝ",""))</f>
        <v/>
      </c>
      <c r="X19" s="7"/>
    </row>
    <row r="20" spans="1:24" ht="32" customHeight="1">
      <c r="A20" s="7"/>
      <c r="B20" s="7"/>
      <c r="C20" s="7"/>
      <c r="D20" s="7"/>
      <c r="E20" s="7"/>
      <c r="F20" s="7"/>
      <c r="G20" s="7"/>
      <c r="H20" s="10"/>
      <c r="I20" s="10"/>
      <c r="J20" s="10"/>
      <c r="K20" s="7"/>
      <c r="L20" s="7"/>
      <c r="M20" s="7"/>
      <c r="N20" s="7"/>
      <c r="O20" s="7"/>
      <c r="P20" s="7"/>
      <c r="Q20" s="10"/>
      <c r="R20" s="10"/>
      <c r="S20" s="7"/>
      <c r="T20" s="10"/>
      <c r="U20" s="10"/>
      <c r="V20" s="7"/>
      <c r="W20" s="9">
        <f>IF(D20="","",IF(SUMPRODUCT(--EXACT($D$6:$D$105,D20))&gt;1,"TRÙNG MÃ VẬT LÝ",""))</f>
        <v/>
      </c>
      <c r="X20" s="7"/>
    </row>
    <row r="21" spans="1:24" ht="32" customHeight="1">
      <c r="A21" s="7"/>
      <c r="B21" s="7"/>
      <c r="C21" s="7"/>
      <c r="D21" s="7"/>
      <c r="E21" s="7"/>
      <c r="F21" s="7"/>
      <c r="G21" s="7"/>
      <c r="H21" s="10"/>
      <c r="I21" s="10"/>
      <c r="J21" s="10"/>
      <c r="K21" s="7"/>
      <c r="L21" s="7"/>
      <c r="M21" s="7"/>
      <c r="N21" s="7"/>
      <c r="O21" s="7"/>
      <c r="P21" s="7"/>
      <c r="Q21" s="10"/>
      <c r="R21" s="10"/>
      <c r="S21" s="7"/>
      <c r="T21" s="10"/>
      <c r="U21" s="10"/>
      <c r="V21" s="7"/>
      <c r="W21" s="9">
        <f>IF(D21="","",IF(SUMPRODUCT(--EXACT($D$6:$D$105,D21))&gt;1,"TRÙNG MÃ VẬT LÝ",""))</f>
        <v/>
      </c>
      <c r="X21" s="7"/>
    </row>
    <row r="22" spans="1:24" ht="32" customHeight="1">
      <c r="A22" s="7"/>
      <c r="B22" s="7"/>
      <c r="C22" s="7"/>
      <c r="D22" s="7"/>
      <c r="E22" s="7"/>
      <c r="F22" s="7"/>
      <c r="G22" s="7"/>
      <c r="H22" s="10"/>
      <c r="I22" s="10"/>
      <c r="J22" s="10"/>
      <c r="K22" s="7"/>
      <c r="L22" s="7"/>
      <c r="M22" s="7"/>
      <c r="N22" s="7"/>
      <c r="O22" s="7"/>
      <c r="P22" s="7"/>
      <c r="Q22" s="10"/>
      <c r="R22" s="10"/>
      <c r="S22" s="7"/>
      <c r="T22" s="10"/>
      <c r="U22" s="10"/>
      <c r="V22" s="7"/>
      <c r="W22" s="9">
        <f>IF(D22="","",IF(SUMPRODUCT(--EXACT($D$6:$D$105,D22))&gt;1,"TRÙNG MÃ VẬT LÝ",""))</f>
        <v/>
      </c>
      <c r="X22" s="7"/>
    </row>
    <row r="23" spans="1:24" ht="32" customHeight="1">
      <c r="A23" s="7"/>
      <c r="B23" s="7"/>
      <c r="C23" s="7"/>
      <c r="D23" s="7"/>
      <c r="E23" s="7"/>
      <c r="F23" s="7"/>
      <c r="G23" s="7"/>
      <c r="H23" s="10"/>
      <c r="I23" s="10"/>
      <c r="J23" s="10"/>
      <c r="K23" s="7"/>
      <c r="L23" s="7"/>
      <c r="M23" s="7"/>
      <c r="N23" s="7"/>
      <c r="O23" s="7"/>
      <c r="P23" s="7"/>
      <c r="Q23" s="10"/>
      <c r="R23" s="10"/>
      <c r="S23" s="7"/>
      <c r="T23" s="10"/>
      <c r="U23" s="10"/>
      <c r="V23" s="7"/>
      <c r="W23" s="9">
        <f>IF(D23="","",IF(SUMPRODUCT(--EXACT($D$6:$D$105,D23))&gt;1,"TRÙNG MÃ VẬT LÝ",""))</f>
        <v/>
      </c>
      <c r="X23" s="7"/>
    </row>
    <row r="24" spans="1:24" ht="32" customHeight="1">
      <c r="A24" s="7"/>
      <c r="B24" s="7"/>
      <c r="C24" s="7"/>
      <c r="D24" s="7"/>
      <c r="E24" s="7"/>
      <c r="F24" s="7"/>
      <c r="G24" s="7"/>
      <c r="H24" s="10"/>
      <c r="I24" s="10"/>
      <c r="J24" s="10"/>
      <c r="K24" s="7"/>
      <c r="L24" s="7"/>
      <c r="M24" s="7"/>
      <c r="N24" s="7"/>
      <c r="O24" s="7"/>
      <c r="P24" s="7"/>
      <c r="Q24" s="10"/>
      <c r="R24" s="10"/>
      <c r="S24" s="7"/>
      <c r="T24" s="10"/>
      <c r="U24" s="10"/>
      <c r="V24" s="7"/>
      <c r="W24" s="9">
        <f>IF(D24="","",IF(SUMPRODUCT(--EXACT($D$6:$D$105,D24))&gt;1,"TRÙNG MÃ VẬT LÝ",""))</f>
        <v/>
      </c>
      <c r="X24" s="7"/>
    </row>
    <row r="25" spans="1:24" ht="32" customHeight="1">
      <c r="A25" s="7"/>
      <c r="B25" s="7"/>
      <c r="C25" s="7"/>
      <c r="D25" s="7"/>
      <c r="E25" s="7"/>
      <c r="F25" s="7"/>
      <c r="G25" s="7"/>
      <c r="H25" s="10"/>
      <c r="I25" s="10"/>
      <c r="J25" s="10"/>
      <c r="K25" s="7"/>
      <c r="L25" s="7"/>
      <c r="M25" s="7"/>
      <c r="N25" s="7"/>
      <c r="O25" s="7"/>
      <c r="P25" s="7"/>
      <c r="Q25" s="10"/>
      <c r="R25" s="10"/>
      <c r="S25" s="7"/>
      <c r="T25" s="10"/>
      <c r="U25" s="10"/>
      <c r="V25" s="7"/>
      <c r="W25" s="9">
        <f>IF(D25="","",IF(SUMPRODUCT(--EXACT($D$6:$D$105,D25))&gt;1,"TRÙNG MÃ VẬT LÝ",""))</f>
        <v/>
      </c>
      <c r="X25" s="7"/>
    </row>
    <row r="26" spans="1:24" ht="32" customHeight="1">
      <c r="A26" s="7"/>
      <c r="B26" s="7"/>
      <c r="C26" s="7"/>
      <c r="D26" s="7"/>
      <c r="E26" s="7"/>
      <c r="F26" s="7"/>
      <c r="G26" s="7"/>
      <c r="H26" s="10"/>
      <c r="I26" s="10"/>
      <c r="J26" s="10"/>
      <c r="K26" s="7"/>
      <c r="L26" s="7"/>
      <c r="M26" s="7"/>
      <c r="N26" s="7"/>
      <c r="O26" s="7"/>
      <c r="P26" s="7"/>
      <c r="Q26" s="10"/>
      <c r="R26" s="10"/>
      <c r="S26" s="7"/>
      <c r="T26" s="10"/>
      <c r="U26" s="10"/>
      <c r="V26" s="7"/>
      <c r="W26" s="9">
        <f>IF(D26="","",IF(SUMPRODUCT(--EXACT($D$6:$D$105,D26))&gt;1,"TRÙNG MÃ VẬT LÝ",""))</f>
        <v/>
      </c>
      <c r="X26" s="7"/>
    </row>
    <row r="27" spans="1:24" ht="32" customHeight="1">
      <c r="A27" s="7"/>
      <c r="B27" s="7"/>
      <c r="C27" s="7"/>
      <c r="D27" s="7"/>
      <c r="E27" s="7"/>
      <c r="F27" s="7"/>
      <c r="G27" s="7"/>
      <c r="H27" s="10"/>
      <c r="I27" s="10"/>
      <c r="J27" s="10"/>
      <c r="K27" s="7"/>
      <c r="L27" s="7"/>
      <c r="M27" s="7"/>
      <c r="N27" s="7"/>
      <c r="O27" s="7"/>
      <c r="P27" s="7"/>
      <c r="Q27" s="10"/>
      <c r="R27" s="10"/>
      <c r="S27" s="7"/>
      <c r="T27" s="10"/>
      <c r="U27" s="10"/>
      <c r="V27" s="7"/>
      <c r="W27" s="9">
        <f>IF(D27="","",IF(SUMPRODUCT(--EXACT($D$6:$D$105,D27))&gt;1,"TRÙNG MÃ VẬT LÝ",""))</f>
        <v/>
      </c>
      <c r="X27" s="7"/>
    </row>
    <row r="28" spans="1:24" ht="32" customHeight="1">
      <c r="A28" s="7"/>
      <c r="B28" s="7"/>
      <c r="C28" s="7"/>
      <c r="D28" s="7"/>
      <c r="E28" s="7"/>
      <c r="F28" s="7"/>
      <c r="G28" s="7"/>
      <c r="H28" s="10"/>
      <c r="I28" s="10"/>
      <c r="J28" s="10"/>
      <c r="K28" s="7"/>
      <c r="L28" s="7"/>
      <c r="M28" s="7"/>
      <c r="N28" s="7"/>
      <c r="O28" s="7"/>
      <c r="P28" s="7"/>
      <c r="Q28" s="10"/>
      <c r="R28" s="10"/>
      <c r="S28" s="7"/>
      <c r="T28" s="10"/>
      <c r="U28" s="10"/>
      <c r="V28" s="7"/>
      <c r="W28" s="9">
        <f>IF(D28="","",IF(SUMPRODUCT(--EXACT($D$6:$D$105,D28))&gt;1,"TRÙNG MÃ VẬT LÝ",""))</f>
        <v/>
      </c>
      <c r="X28" s="7"/>
    </row>
    <row r="29" spans="1:24" ht="32" customHeight="1">
      <c r="A29" s="7"/>
      <c r="B29" s="7"/>
      <c r="C29" s="7"/>
      <c r="D29" s="7"/>
      <c r="E29" s="7"/>
      <c r="F29" s="7"/>
      <c r="G29" s="7"/>
      <c r="H29" s="10"/>
      <c r="I29" s="10"/>
      <c r="J29" s="10"/>
      <c r="K29" s="7"/>
      <c r="L29" s="7"/>
      <c r="M29" s="7"/>
      <c r="N29" s="7"/>
      <c r="O29" s="7"/>
      <c r="P29" s="7"/>
      <c r="Q29" s="10"/>
      <c r="R29" s="10"/>
      <c r="S29" s="7"/>
      <c r="T29" s="10"/>
      <c r="U29" s="10"/>
      <c r="V29" s="7"/>
      <c r="W29" s="9">
        <f>IF(D29="","",IF(SUMPRODUCT(--EXACT($D$6:$D$105,D29))&gt;1,"TRÙNG MÃ VẬT LÝ",""))</f>
        <v/>
      </c>
      <c r="X29" s="7"/>
    </row>
    <row r="30" spans="1:24" ht="32" customHeight="1">
      <c r="A30" s="7"/>
      <c r="B30" s="7"/>
      <c r="C30" s="7"/>
      <c r="D30" s="7"/>
      <c r="E30" s="7"/>
      <c r="F30" s="7"/>
      <c r="G30" s="7"/>
      <c r="H30" s="10"/>
      <c r="I30" s="10"/>
      <c r="J30" s="10"/>
      <c r="K30" s="7"/>
      <c r="L30" s="7"/>
      <c r="M30" s="7"/>
      <c r="N30" s="7"/>
      <c r="O30" s="7"/>
      <c r="P30" s="7"/>
      <c r="Q30" s="10"/>
      <c r="R30" s="10"/>
      <c r="S30" s="7"/>
      <c r="T30" s="10"/>
      <c r="U30" s="10"/>
      <c r="V30" s="7"/>
      <c r="W30" s="9">
        <f>IF(D30="","",IF(SUMPRODUCT(--EXACT($D$6:$D$105,D30))&gt;1,"TRÙNG MÃ VẬT LÝ",""))</f>
        <v/>
      </c>
      <c r="X30" s="7"/>
    </row>
    <row r="31" spans="1:24" ht="32" customHeight="1">
      <c r="A31" s="7"/>
      <c r="B31" s="7"/>
      <c r="C31" s="7"/>
      <c r="D31" s="7"/>
      <c r="E31" s="7"/>
      <c r="F31" s="7"/>
      <c r="G31" s="7"/>
      <c r="H31" s="10"/>
      <c r="I31" s="10"/>
      <c r="J31" s="10"/>
      <c r="K31" s="7"/>
      <c r="L31" s="7"/>
      <c r="M31" s="7"/>
      <c r="N31" s="7"/>
      <c r="O31" s="7"/>
      <c r="P31" s="7"/>
      <c r="Q31" s="10"/>
      <c r="R31" s="10"/>
      <c r="S31" s="7"/>
      <c r="T31" s="10"/>
      <c r="U31" s="10"/>
      <c r="V31" s="7"/>
      <c r="W31" s="9">
        <f>IF(D31="","",IF(SUMPRODUCT(--EXACT($D$6:$D$105,D31))&gt;1,"TRÙNG MÃ VẬT LÝ",""))</f>
        <v/>
      </c>
      <c r="X31" s="7"/>
    </row>
    <row r="32" spans="1:24" ht="32" customHeight="1">
      <c r="A32" s="7"/>
      <c r="B32" s="7"/>
      <c r="C32" s="7"/>
      <c r="D32" s="7"/>
      <c r="E32" s="7"/>
      <c r="F32" s="7"/>
      <c r="G32" s="7"/>
      <c r="H32" s="10"/>
      <c r="I32" s="10"/>
      <c r="J32" s="10"/>
      <c r="K32" s="7"/>
      <c r="L32" s="7"/>
      <c r="M32" s="7"/>
      <c r="N32" s="7"/>
      <c r="O32" s="7"/>
      <c r="P32" s="7"/>
      <c r="Q32" s="10"/>
      <c r="R32" s="10"/>
      <c r="S32" s="7"/>
      <c r="T32" s="10"/>
      <c r="U32" s="10"/>
      <c r="V32" s="7"/>
      <c r="W32" s="9">
        <f>IF(D32="","",IF(SUMPRODUCT(--EXACT($D$6:$D$105,D32))&gt;1,"TRÙNG MÃ VẬT LÝ",""))</f>
        <v/>
      </c>
      <c r="X32" s="7"/>
    </row>
    <row r="33" spans="1:24" ht="32" customHeight="1">
      <c r="A33" s="7"/>
      <c r="B33" s="7"/>
      <c r="C33" s="7"/>
      <c r="D33" s="7"/>
      <c r="E33" s="7"/>
      <c r="F33" s="7"/>
      <c r="G33" s="7"/>
      <c r="H33" s="10"/>
      <c r="I33" s="10"/>
      <c r="J33" s="10"/>
      <c r="K33" s="7"/>
      <c r="L33" s="7"/>
      <c r="M33" s="7"/>
      <c r="N33" s="7"/>
      <c r="O33" s="7"/>
      <c r="P33" s="7"/>
      <c r="Q33" s="10"/>
      <c r="R33" s="10"/>
      <c r="S33" s="7"/>
      <c r="T33" s="10"/>
      <c r="U33" s="10"/>
      <c r="V33" s="7"/>
      <c r="W33" s="9">
        <f>IF(D33="","",IF(SUMPRODUCT(--EXACT($D$6:$D$105,D33))&gt;1,"TRÙNG MÃ VẬT LÝ",""))</f>
        <v/>
      </c>
      <c r="X33" s="7"/>
    </row>
    <row r="34" spans="1:24" ht="32" customHeight="1">
      <c r="A34" s="7"/>
      <c r="B34" s="7"/>
      <c r="C34" s="7"/>
      <c r="D34" s="7"/>
      <c r="E34" s="7"/>
      <c r="F34" s="7"/>
      <c r="G34" s="7"/>
      <c r="H34" s="10"/>
      <c r="I34" s="10"/>
      <c r="J34" s="10"/>
      <c r="K34" s="7"/>
      <c r="L34" s="7"/>
      <c r="M34" s="7"/>
      <c r="N34" s="7"/>
      <c r="O34" s="7"/>
      <c r="P34" s="7"/>
      <c r="Q34" s="10"/>
      <c r="R34" s="10"/>
      <c r="S34" s="7"/>
      <c r="T34" s="10"/>
      <c r="U34" s="10"/>
      <c r="V34" s="7"/>
      <c r="W34" s="9">
        <f>IF(D34="","",IF(SUMPRODUCT(--EXACT($D$6:$D$105,D34))&gt;1,"TRÙNG MÃ VẬT LÝ",""))</f>
        <v/>
      </c>
      <c r="X34" s="7"/>
    </row>
    <row r="35" spans="1:24" ht="32" customHeight="1">
      <c r="A35" s="7"/>
      <c r="B35" s="7"/>
      <c r="C35" s="7"/>
      <c r="D35" s="7"/>
      <c r="E35" s="7"/>
      <c r="F35" s="7"/>
      <c r="G35" s="7"/>
      <c r="H35" s="10"/>
      <c r="I35" s="10"/>
      <c r="J35" s="10"/>
      <c r="K35" s="7"/>
      <c r="L35" s="7"/>
      <c r="M35" s="7"/>
      <c r="N35" s="7"/>
      <c r="O35" s="7"/>
      <c r="P35" s="7"/>
      <c r="Q35" s="10"/>
      <c r="R35" s="10"/>
      <c r="S35" s="7"/>
      <c r="T35" s="10"/>
      <c r="U35" s="10"/>
      <c r="V35" s="7"/>
      <c r="W35" s="9">
        <f>IF(D35="","",IF(SUMPRODUCT(--EXACT($D$6:$D$105,D35))&gt;1,"TRÙNG MÃ VẬT LÝ",""))</f>
        <v/>
      </c>
      <c r="X35" s="7"/>
    </row>
    <row r="36" spans="1:24" ht="32" customHeight="1">
      <c r="A36" s="7"/>
      <c r="B36" s="7"/>
      <c r="C36" s="7"/>
      <c r="D36" s="7"/>
      <c r="E36" s="7"/>
      <c r="F36" s="7"/>
      <c r="G36" s="7"/>
      <c r="H36" s="10"/>
      <c r="I36" s="10"/>
      <c r="J36" s="10"/>
      <c r="K36" s="7"/>
      <c r="L36" s="7"/>
      <c r="M36" s="7"/>
      <c r="N36" s="7"/>
      <c r="O36" s="7"/>
      <c r="P36" s="7"/>
      <c r="Q36" s="10"/>
      <c r="R36" s="10"/>
      <c r="S36" s="7"/>
      <c r="T36" s="10"/>
      <c r="U36" s="10"/>
      <c r="V36" s="7"/>
      <c r="W36" s="9">
        <f>IF(D36="","",IF(SUMPRODUCT(--EXACT($D$6:$D$105,D36))&gt;1,"TRÙNG MÃ VẬT LÝ",""))</f>
        <v/>
      </c>
      <c r="X36" s="7"/>
    </row>
    <row r="37" spans="1:24" ht="32" customHeight="1">
      <c r="A37" s="7"/>
      <c r="B37" s="7"/>
      <c r="C37" s="7"/>
      <c r="D37" s="7"/>
      <c r="E37" s="7"/>
      <c r="F37" s="7"/>
      <c r="G37" s="7"/>
      <c r="H37" s="10"/>
      <c r="I37" s="10"/>
      <c r="J37" s="10"/>
      <c r="K37" s="7"/>
      <c r="L37" s="7"/>
      <c r="M37" s="7"/>
      <c r="N37" s="7"/>
      <c r="O37" s="7"/>
      <c r="P37" s="7"/>
      <c r="Q37" s="10"/>
      <c r="R37" s="10"/>
      <c r="S37" s="7"/>
      <c r="T37" s="10"/>
      <c r="U37" s="10"/>
      <c r="V37" s="7"/>
      <c r="W37" s="9">
        <f>IF(D37="","",IF(SUMPRODUCT(--EXACT($D$6:$D$105,D37))&gt;1,"TRÙNG MÃ VẬT LÝ",""))</f>
        <v/>
      </c>
      <c r="X37" s="7"/>
    </row>
    <row r="38" spans="1:24" ht="32" customHeight="1">
      <c r="A38" s="7"/>
      <c r="B38" s="7"/>
      <c r="C38" s="7"/>
      <c r="D38" s="7"/>
      <c r="E38" s="7"/>
      <c r="F38" s="7"/>
      <c r="G38" s="7"/>
      <c r="H38" s="10"/>
      <c r="I38" s="10"/>
      <c r="J38" s="10"/>
      <c r="K38" s="7"/>
      <c r="L38" s="7"/>
      <c r="M38" s="7"/>
      <c r="N38" s="7"/>
      <c r="O38" s="7"/>
      <c r="P38" s="7"/>
      <c r="Q38" s="10"/>
      <c r="R38" s="10"/>
      <c r="S38" s="7"/>
      <c r="T38" s="10"/>
      <c r="U38" s="10"/>
      <c r="V38" s="7"/>
      <c r="W38" s="9">
        <f>IF(D38="","",IF(SUMPRODUCT(--EXACT($D$6:$D$105,D38))&gt;1,"TRÙNG MÃ VẬT LÝ",""))</f>
        <v/>
      </c>
      <c r="X38" s="7"/>
    </row>
    <row r="39" spans="1:24" ht="32" customHeight="1">
      <c r="A39" s="7"/>
      <c r="B39" s="7"/>
      <c r="C39" s="7"/>
      <c r="D39" s="7"/>
      <c r="E39" s="7"/>
      <c r="F39" s="7"/>
      <c r="G39" s="7"/>
      <c r="H39" s="10"/>
      <c r="I39" s="10"/>
      <c r="J39" s="10"/>
      <c r="K39" s="7"/>
      <c r="L39" s="7"/>
      <c r="M39" s="7"/>
      <c r="N39" s="7"/>
      <c r="O39" s="7"/>
      <c r="P39" s="7"/>
      <c r="Q39" s="10"/>
      <c r="R39" s="10"/>
      <c r="S39" s="7"/>
      <c r="T39" s="10"/>
      <c r="U39" s="10"/>
      <c r="V39" s="7"/>
      <c r="W39" s="9">
        <f>IF(D39="","",IF(SUMPRODUCT(--EXACT($D$6:$D$105,D39))&gt;1,"TRÙNG MÃ VẬT LÝ",""))</f>
        <v/>
      </c>
      <c r="X39" s="7"/>
    </row>
    <row r="40" spans="1:24" ht="32" customHeight="1">
      <c r="A40" s="7"/>
      <c r="B40" s="7"/>
      <c r="C40" s="7"/>
      <c r="D40" s="7"/>
      <c r="E40" s="7"/>
      <c r="F40" s="7"/>
      <c r="G40" s="7"/>
      <c r="H40" s="10"/>
      <c r="I40" s="10"/>
      <c r="J40" s="10"/>
      <c r="K40" s="7"/>
      <c r="L40" s="7"/>
      <c r="M40" s="7"/>
      <c r="N40" s="7"/>
      <c r="O40" s="7"/>
      <c r="P40" s="7"/>
      <c r="Q40" s="10"/>
      <c r="R40" s="10"/>
      <c r="S40" s="7"/>
      <c r="T40" s="10"/>
      <c r="U40" s="10"/>
      <c r="V40" s="7"/>
      <c r="W40" s="9">
        <f>IF(D40="","",IF(SUMPRODUCT(--EXACT($D$6:$D$105,D40))&gt;1,"TRÙNG MÃ VẬT LÝ",""))</f>
        <v/>
      </c>
      <c r="X40" s="7"/>
    </row>
    <row r="41" spans="1:24" ht="32" customHeight="1">
      <c r="A41" s="7"/>
      <c r="B41" s="7"/>
      <c r="C41" s="7"/>
      <c r="D41" s="7"/>
      <c r="E41" s="7"/>
      <c r="F41" s="7"/>
      <c r="G41" s="7"/>
      <c r="H41" s="10"/>
      <c r="I41" s="10"/>
      <c r="J41" s="10"/>
      <c r="K41" s="7"/>
      <c r="L41" s="7"/>
      <c r="M41" s="7"/>
      <c r="N41" s="7"/>
      <c r="O41" s="7"/>
      <c r="P41" s="7"/>
      <c r="Q41" s="10"/>
      <c r="R41" s="10"/>
      <c r="S41" s="7"/>
      <c r="T41" s="10"/>
      <c r="U41" s="10"/>
      <c r="V41" s="7"/>
      <c r="W41" s="9">
        <f>IF(D41="","",IF(SUMPRODUCT(--EXACT($D$6:$D$105,D41))&gt;1,"TRÙNG MÃ VẬT LÝ",""))</f>
        <v/>
      </c>
      <c r="X41" s="7"/>
    </row>
    <row r="42" spans="1:24" ht="32" customHeight="1">
      <c r="A42" s="7"/>
      <c r="B42" s="7"/>
      <c r="C42" s="7"/>
      <c r="D42" s="7"/>
      <c r="E42" s="7"/>
      <c r="F42" s="7"/>
      <c r="G42" s="7"/>
      <c r="H42" s="10"/>
      <c r="I42" s="10"/>
      <c r="J42" s="10"/>
      <c r="K42" s="7"/>
      <c r="L42" s="7"/>
      <c r="M42" s="7"/>
      <c r="N42" s="7"/>
      <c r="O42" s="7"/>
      <c r="P42" s="7"/>
      <c r="Q42" s="10"/>
      <c r="R42" s="10"/>
      <c r="S42" s="7"/>
      <c r="T42" s="10"/>
      <c r="U42" s="10"/>
      <c r="V42" s="7"/>
      <c r="W42" s="9">
        <f>IF(D42="","",IF(SUMPRODUCT(--EXACT($D$6:$D$105,D42))&gt;1,"TRÙNG MÃ VẬT LÝ",""))</f>
        <v/>
      </c>
      <c r="X42" s="7"/>
    </row>
    <row r="43" spans="1:24" ht="32" customHeight="1">
      <c r="A43" s="7"/>
      <c r="B43" s="7"/>
      <c r="C43" s="7"/>
      <c r="D43" s="7"/>
      <c r="E43" s="7"/>
      <c r="F43" s="7"/>
      <c r="G43" s="7"/>
      <c r="H43" s="10"/>
      <c r="I43" s="10"/>
      <c r="J43" s="10"/>
      <c r="K43" s="7"/>
      <c r="L43" s="7"/>
      <c r="M43" s="7"/>
      <c r="N43" s="7"/>
      <c r="O43" s="7"/>
      <c r="P43" s="7"/>
      <c r="Q43" s="10"/>
      <c r="R43" s="10"/>
      <c r="S43" s="7"/>
      <c r="T43" s="10"/>
      <c r="U43" s="10"/>
      <c r="V43" s="7"/>
      <c r="W43" s="9">
        <f>IF(D43="","",IF(SUMPRODUCT(--EXACT($D$6:$D$105,D43))&gt;1,"TRÙNG MÃ VẬT LÝ",""))</f>
        <v/>
      </c>
      <c r="X43" s="7"/>
    </row>
    <row r="44" spans="1:24" ht="32" customHeight="1">
      <c r="A44" s="7"/>
      <c r="B44" s="7"/>
      <c r="C44" s="7"/>
      <c r="D44" s="7"/>
      <c r="E44" s="7"/>
      <c r="F44" s="7"/>
      <c r="G44" s="7"/>
      <c r="H44" s="10"/>
      <c r="I44" s="10"/>
      <c r="J44" s="10"/>
      <c r="K44" s="7"/>
      <c r="L44" s="7"/>
      <c r="M44" s="7"/>
      <c r="N44" s="7"/>
      <c r="O44" s="7"/>
      <c r="P44" s="7"/>
      <c r="Q44" s="10"/>
      <c r="R44" s="10"/>
      <c r="S44" s="7"/>
      <c r="T44" s="10"/>
      <c r="U44" s="10"/>
      <c r="V44" s="7"/>
      <c r="W44" s="9">
        <f>IF(D44="","",IF(SUMPRODUCT(--EXACT($D$6:$D$105,D44))&gt;1,"TRÙNG MÃ VẬT LÝ",""))</f>
        <v/>
      </c>
      <c r="X44" s="7"/>
    </row>
    <row r="45" spans="1:24" ht="32" customHeight="1">
      <c r="A45" s="7"/>
      <c r="B45" s="7"/>
      <c r="C45" s="7"/>
      <c r="D45" s="7"/>
      <c r="E45" s="7"/>
      <c r="F45" s="7"/>
      <c r="G45" s="7"/>
      <c r="H45" s="10"/>
      <c r="I45" s="10"/>
      <c r="J45" s="10"/>
      <c r="K45" s="7"/>
      <c r="L45" s="7"/>
      <c r="M45" s="7"/>
      <c r="N45" s="7"/>
      <c r="O45" s="7"/>
      <c r="P45" s="7"/>
      <c r="Q45" s="10"/>
      <c r="R45" s="10"/>
      <c r="S45" s="7"/>
      <c r="T45" s="10"/>
      <c r="U45" s="10"/>
      <c r="V45" s="7"/>
      <c r="W45" s="9">
        <f>IF(D45="","",IF(SUMPRODUCT(--EXACT($D$6:$D$105,D45))&gt;1,"TRÙNG MÃ VẬT LÝ",""))</f>
        <v/>
      </c>
      <c r="X45" s="7"/>
    </row>
    <row r="46" spans="1:24" ht="32" customHeight="1">
      <c r="A46" s="7"/>
      <c r="B46" s="7"/>
      <c r="C46" s="7"/>
      <c r="D46" s="7"/>
      <c r="E46" s="7"/>
      <c r="F46" s="7"/>
      <c r="G46" s="7"/>
      <c r="H46" s="10"/>
      <c r="I46" s="10"/>
      <c r="J46" s="10"/>
      <c r="K46" s="7"/>
      <c r="L46" s="7"/>
      <c r="M46" s="7"/>
      <c r="N46" s="7"/>
      <c r="O46" s="7"/>
      <c r="P46" s="7"/>
      <c r="Q46" s="10"/>
      <c r="R46" s="10"/>
      <c r="S46" s="7"/>
      <c r="T46" s="10"/>
      <c r="U46" s="10"/>
      <c r="V46" s="7"/>
      <c r="W46" s="9">
        <f>IF(D46="","",IF(SUMPRODUCT(--EXACT($D$6:$D$105,D46))&gt;1,"TRÙNG MÃ VẬT LÝ",""))</f>
        <v/>
      </c>
      <c r="X46" s="7"/>
    </row>
    <row r="47" spans="1:24" ht="32" customHeight="1">
      <c r="A47" s="7"/>
      <c r="B47" s="7"/>
      <c r="C47" s="7"/>
      <c r="D47" s="7"/>
      <c r="E47" s="7"/>
      <c r="F47" s="7"/>
      <c r="G47" s="7"/>
      <c r="H47" s="10"/>
      <c r="I47" s="10"/>
      <c r="J47" s="10"/>
      <c r="K47" s="7"/>
      <c r="L47" s="7"/>
      <c r="M47" s="7"/>
      <c r="N47" s="7"/>
      <c r="O47" s="7"/>
      <c r="P47" s="7"/>
      <c r="Q47" s="10"/>
      <c r="R47" s="10"/>
      <c r="S47" s="7"/>
      <c r="T47" s="10"/>
      <c r="U47" s="10"/>
      <c r="V47" s="7"/>
      <c r="W47" s="9">
        <f>IF(D47="","",IF(SUMPRODUCT(--EXACT($D$6:$D$105,D47))&gt;1,"TRÙNG MÃ VẬT LÝ",""))</f>
        <v/>
      </c>
      <c r="X47" s="7"/>
    </row>
    <row r="48" spans="1:24" ht="32" customHeight="1">
      <c r="A48" s="7"/>
      <c r="B48" s="7"/>
      <c r="C48" s="7"/>
      <c r="D48" s="7"/>
      <c r="E48" s="7"/>
      <c r="F48" s="7"/>
      <c r="G48" s="7"/>
      <c r="H48" s="10"/>
      <c r="I48" s="10"/>
      <c r="J48" s="10"/>
      <c r="K48" s="7"/>
      <c r="L48" s="7"/>
      <c r="M48" s="7"/>
      <c r="N48" s="7"/>
      <c r="O48" s="7"/>
      <c r="P48" s="7"/>
      <c r="Q48" s="10"/>
      <c r="R48" s="10"/>
      <c r="S48" s="7"/>
      <c r="T48" s="10"/>
      <c r="U48" s="10"/>
      <c r="V48" s="7"/>
      <c r="W48" s="9">
        <f>IF(D48="","",IF(SUMPRODUCT(--EXACT($D$6:$D$105,D48))&gt;1,"TRÙNG MÃ VẬT LÝ",""))</f>
        <v/>
      </c>
      <c r="X48" s="7"/>
    </row>
    <row r="49" spans="1:24" ht="32" customHeight="1">
      <c r="A49" s="7"/>
      <c r="B49" s="7"/>
      <c r="C49" s="7"/>
      <c r="D49" s="7"/>
      <c r="E49" s="7"/>
      <c r="F49" s="7"/>
      <c r="G49" s="7"/>
      <c r="H49" s="10"/>
      <c r="I49" s="10"/>
      <c r="J49" s="10"/>
      <c r="K49" s="7"/>
      <c r="L49" s="7"/>
      <c r="M49" s="7"/>
      <c r="N49" s="7"/>
      <c r="O49" s="7"/>
      <c r="P49" s="7"/>
      <c r="Q49" s="10"/>
      <c r="R49" s="10"/>
      <c r="S49" s="7"/>
      <c r="T49" s="10"/>
      <c r="U49" s="10"/>
      <c r="V49" s="7"/>
      <c r="W49" s="9">
        <f>IF(D49="","",IF(SUMPRODUCT(--EXACT($D$6:$D$105,D49))&gt;1,"TRÙNG MÃ VẬT LÝ",""))</f>
        <v/>
      </c>
      <c r="X49" s="7"/>
    </row>
    <row r="50" spans="1:24" ht="32" customHeight="1">
      <c r="A50" s="7"/>
      <c r="B50" s="7"/>
      <c r="C50" s="7"/>
      <c r="D50" s="7"/>
      <c r="E50" s="7"/>
      <c r="F50" s="7"/>
      <c r="G50" s="7"/>
      <c r="H50" s="10"/>
      <c r="I50" s="10"/>
      <c r="J50" s="10"/>
      <c r="K50" s="7"/>
      <c r="L50" s="7"/>
      <c r="M50" s="7"/>
      <c r="N50" s="7"/>
      <c r="O50" s="7"/>
      <c r="P50" s="7"/>
      <c r="Q50" s="10"/>
      <c r="R50" s="10"/>
      <c r="S50" s="7"/>
      <c r="T50" s="10"/>
      <c r="U50" s="10"/>
      <c r="V50" s="7"/>
      <c r="W50" s="9">
        <f>IF(D50="","",IF(SUMPRODUCT(--EXACT($D$6:$D$105,D50))&gt;1,"TRÙNG MÃ VẬT LÝ",""))</f>
        <v/>
      </c>
      <c r="X50" s="7"/>
    </row>
    <row r="51" spans="1:24" ht="32" customHeight="1">
      <c r="A51" s="7"/>
      <c r="B51" s="7"/>
      <c r="C51" s="7"/>
      <c r="D51" s="7"/>
      <c r="E51" s="7"/>
      <c r="F51" s="7"/>
      <c r="G51" s="7"/>
      <c r="H51" s="10"/>
      <c r="I51" s="10"/>
      <c r="J51" s="10"/>
      <c r="K51" s="7"/>
      <c r="L51" s="7"/>
      <c r="M51" s="7"/>
      <c r="N51" s="7"/>
      <c r="O51" s="7"/>
      <c r="P51" s="7"/>
      <c r="Q51" s="10"/>
      <c r="R51" s="10"/>
      <c r="S51" s="7"/>
      <c r="T51" s="10"/>
      <c r="U51" s="10"/>
      <c r="V51" s="7"/>
      <c r="W51" s="9">
        <f>IF(D51="","",IF(SUMPRODUCT(--EXACT($D$6:$D$105,D51))&gt;1,"TRÙNG MÃ VẬT LÝ",""))</f>
        <v/>
      </c>
      <c r="X51" s="7"/>
    </row>
    <row r="52" spans="1:24" ht="32" customHeight="1">
      <c r="A52" s="7"/>
      <c r="B52" s="7"/>
      <c r="C52" s="7"/>
      <c r="D52" s="7"/>
      <c r="E52" s="7"/>
      <c r="F52" s="7"/>
      <c r="G52" s="7"/>
      <c r="H52" s="10"/>
      <c r="I52" s="10"/>
      <c r="J52" s="10"/>
      <c r="K52" s="7"/>
      <c r="L52" s="7"/>
      <c r="M52" s="7"/>
      <c r="N52" s="7"/>
      <c r="O52" s="7"/>
      <c r="P52" s="7"/>
      <c r="Q52" s="10"/>
      <c r="R52" s="10"/>
      <c r="S52" s="7"/>
      <c r="T52" s="10"/>
      <c r="U52" s="10"/>
      <c r="V52" s="7"/>
      <c r="W52" s="9">
        <f>IF(D52="","",IF(SUMPRODUCT(--EXACT($D$6:$D$105,D52))&gt;1,"TRÙNG MÃ VẬT LÝ",""))</f>
        <v/>
      </c>
      <c r="X52" s="7"/>
    </row>
    <row r="53" spans="1:24" ht="32" customHeight="1">
      <c r="A53" s="7"/>
      <c r="B53" s="7"/>
      <c r="C53" s="7"/>
      <c r="D53" s="7"/>
      <c r="E53" s="7"/>
      <c r="F53" s="7"/>
      <c r="G53" s="7"/>
      <c r="H53" s="10"/>
      <c r="I53" s="10"/>
      <c r="J53" s="10"/>
      <c r="K53" s="7"/>
      <c r="L53" s="7"/>
      <c r="M53" s="7"/>
      <c r="N53" s="7"/>
      <c r="O53" s="7"/>
      <c r="P53" s="7"/>
      <c r="Q53" s="10"/>
      <c r="R53" s="10"/>
      <c r="S53" s="7"/>
      <c r="T53" s="10"/>
      <c r="U53" s="10"/>
      <c r="V53" s="7"/>
      <c r="W53" s="9">
        <f>IF(D53="","",IF(SUMPRODUCT(--EXACT($D$6:$D$105,D53))&gt;1,"TRÙNG MÃ VẬT LÝ",""))</f>
        <v/>
      </c>
      <c r="X53" s="7"/>
    </row>
    <row r="54" spans="1:24" ht="32" customHeight="1">
      <c r="A54" s="7"/>
      <c r="B54" s="7"/>
      <c r="C54" s="7"/>
      <c r="D54" s="7"/>
      <c r="E54" s="7"/>
      <c r="F54" s="7"/>
      <c r="G54" s="7"/>
      <c r="H54" s="10"/>
      <c r="I54" s="10"/>
      <c r="J54" s="10"/>
      <c r="K54" s="7"/>
      <c r="L54" s="7"/>
      <c r="M54" s="7"/>
      <c r="N54" s="7"/>
      <c r="O54" s="7"/>
      <c r="P54" s="7"/>
      <c r="Q54" s="10"/>
      <c r="R54" s="10"/>
      <c r="S54" s="7"/>
      <c r="T54" s="10"/>
      <c r="U54" s="10"/>
      <c r="V54" s="7"/>
      <c r="W54" s="9">
        <f>IF(D54="","",IF(SUMPRODUCT(--EXACT($D$6:$D$105,D54))&gt;1,"TRÙNG MÃ VẬT LÝ",""))</f>
        <v/>
      </c>
      <c r="X54" s="7"/>
    </row>
    <row r="55" spans="1:24" ht="32" customHeight="1">
      <c r="A55" s="7"/>
      <c r="B55" s="7"/>
      <c r="C55" s="7"/>
      <c r="D55" s="7"/>
      <c r="E55" s="7"/>
      <c r="F55" s="7"/>
      <c r="G55" s="7"/>
      <c r="H55" s="10"/>
      <c r="I55" s="10"/>
      <c r="J55" s="10"/>
      <c r="K55" s="7"/>
      <c r="L55" s="7"/>
      <c r="M55" s="7"/>
      <c r="N55" s="7"/>
      <c r="O55" s="7"/>
      <c r="P55" s="7"/>
      <c r="Q55" s="10"/>
      <c r="R55" s="10"/>
      <c r="S55" s="7"/>
      <c r="T55" s="10"/>
      <c r="U55" s="10"/>
      <c r="V55" s="7"/>
      <c r="W55" s="9">
        <f>IF(D55="","",IF(SUMPRODUCT(--EXACT($D$6:$D$105,D55))&gt;1,"TRÙNG MÃ VẬT LÝ",""))</f>
        <v/>
      </c>
      <c r="X55" s="7"/>
    </row>
    <row r="56" spans="1:24" ht="32" customHeight="1">
      <c r="A56" s="7"/>
      <c r="B56" s="7"/>
      <c r="C56" s="7"/>
      <c r="D56" s="7"/>
      <c r="E56" s="7"/>
      <c r="F56" s="7"/>
      <c r="G56" s="7"/>
      <c r="H56" s="10"/>
      <c r="I56" s="10"/>
      <c r="J56" s="10"/>
      <c r="K56" s="7"/>
      <c r="L56" s="7"/>
      <c r="M56" s="7"/>
      <c r="N56" s="7"/>
      <c r="O56" s="7"/>
      <c r="P56" s="7"/>
      <c r="Q56" s="10"/>
      <c r="R56" s="10"/>
      <c r="S56" s="7"/>
      <c r="T56" s="10"/>
      <c r="U56" s="10"/>
      <c r="V56" s="7"/>
      <c r="W56" s="9">
        <f>IF(D56="","",IF(SUMPRODUCT(--EXACT($D$6:$D$105,D56))&gt;1,"TRÙNG MÃ VẬT LÝ",""))</f>
        <v/>
      </c>
      <c r="X56" s="7"/>
    </row>
    <row r="57" spans="1:24" ht="32" customHeight="1">
      <c r="A57" s="7"/>
      <c r="B57" s="7"/>
      <c r="C57" s="7"/>
      <c r="D57" s="7"/>
      <c r="E57" s="7"/>
      <c r="F57" s="7"/>
      <c r="G57" s="7"/>
      <c r="H57" s="10"/>
      <c r="I57" s="10"/>
      <c r="J57" s="10"/>
      <c r="K57" s="7"/>
      <c r="L57" s="7"/>
      <c r="M57" s="7"/>
      <c r="N57" s="7"/>
      <c r="O57" s="7"/>
      <c r="P57" s="7"/>
      <c r="Q57" s="10"/>
      <c r="R57" s="10"/>
      <c r="S57" s="7"/>
      <c r="T57" s="10"/>
      <c r="U57" s="10"/>
      <c r="V57" s="7"/>
      <c r="W57" s="9">
        <f>IF(D57="","",IF(SUMPRODUCT(--EXACT($D$6:$D$105,D57))&gt;1,"TRÙNG MÃ VẬT LÝ",""))</f>
        <v/>
      </c>
      <c r="X57" s="7"/>
    </row>
    <row r="58" spans="1:24" ht="32" customHeight="1">
      <c r="A58" s="7"/>
      <c r="B58" s="7"/>
      <c r="C58" s="7"/>
      <c r="D58" s="7"/>
      <c r="E58" s="7"/>
      <c r="F58" s="7"/>
      <c r="G58" s="7"/>
      <c r="H58" s="10"/>
      <c r="I58" s="10"/>
      <c r="J58" s="10"/>
      <c r="K58" s="7"/>
      <c r="L58" s="7"/>
      <c r="M58" s="7"/>
      <c r="N58" s="7"/>
      <c r="O58" s="7"/>
      <c r="P58" s="7"/>
      <c r="Q58" s="10"/>
      <c r="R58" s="10"/>
      <c r="S58" s="7"/>
      <c r="T58" s="10"/>
      <c r="U58" s="10"/>
      <c r="V58" s="7"/>
      <c r="W58" s="9">
        <f>IF(D58="","",IF(SUMPRODUCT(--EXACT($D$6:$D$105,D58))&gt;1,"TRÙNG MÃ VẬT LÝ",""))</f>
        <v/>
      </c>
      <c r="X58" s="7"/>
    </row>
    <row r="59" spans="1:24" ht="32" customHeight="1">
      <c r="A59" s="7"/>
      <c r="B59" s="7"/>
      <c r="C59" s="7"/>
      <c r="D59" s="7"/>
      <c r="E59" s="7"/>
      <c r="F59" s="7"/>
      <c r="G59" s="7"/>
      <c r="H59" s="10"/>
      <c r="I59" s="10"/>
      <c r="J59" s="10"/>
      <c r="K59" s="7"/>
      <c r="L59" s="7"/>
      <c r="M59" s="7"/>
      <c r="N59" s="7"/>
      <c r="O59" s="7"/>
      <c r="P59" s="7"/>
      <c r="Q59" s="10"/>
      <c r="R59" s="10"/>
      <c r="S59" s="7"/>
      <c r="T59" s="10"/>
      <c r="U59" s="10"/>
      <c r="V59" s="7"/>
      <c r="W59" s="9">
        <f>IF(D59="","",IF(SUMPRODUCT(--EXACT($D$6:$D$105,D59))&gt;1,"TRÙNG MÃ VẬT LÝ",""))</f>
        <v/>
      </c>
      <c r="X59" s="7"/>
    </row>
    <row r="60" spans="1:24" ht="32" customHeight="1">
      <c r="A60" s="7"/>
      <c r="B60" s="7"/>
      <c r="C60" s="7"/>
      <c r="D60" s="7"/>
      <c r="E60" s="7"/>
      <c r="F60" s="7"/>
      <c r="G60" s="7"/>
      <c r="H60" s="10"/>
      <c r="I60" s="10"/>
      <c r="J60" s="10"/>
      <c r="K60" s="7"/>
      <c r="L60" s="7"/>
      <c r="M60" s="7"/>
      <c r="N60" s="7"/>
      <c r="O60" s="7"/>
      <c r="P60" s="7"/>
      <c r="Q60" s="10"/>
      <c r="R60" s="10"/>
      <c r="S60" s="7"/>
      <c r="T60" s="10"/>
      <c r="U60" s="10"/>
      <c r="V60" s="7"/>
      <c r="W60" s="9">
        <f>IF(D60="","",IF(SUMPRODUCT(--EXACT($D$6:$D$105,D60))&gt;1,"TRÙNG MÃ VẬT LÝ",""))</f>
        <v/>
      </c>
      <c r="X60" s="7"/>
    </row>
    <row r="61" spans="1:24" ht="32" customHeight="1">
      <c r="A61" s="7"/>
      <c r="B61" s="7"/>
      <c r="C61" s="7"/>
      <c r="D61" s="7"/>
      <c r="E61" s="7"/>
      <c r="F61" s="7"/>
      <c r="G61" s="7"/>
      <c r="H61" s="10"/>
      <c r="I61" s="10"/>
      <c r="J61" s="10"/>
      <c r="K61" s="7"/>
      <c r="L61" s="7"/>
      <c r="M61" s="7"/>
      <c r="N61" s="7"/>
      <c r="O61" s="7"/>
      <c r="P61" s="7"/>
      <c r="Q61" s="10"/>
      <c r="R61" s="10"/>
      <c r="S61" s="7"/>
      <c r="T61" s="10"/>
      <c r="U61" s="10"/>
      <c r="V61" s="7"/>
      <c r="W61" s="9">
        <f>IF(D61="","",IF(SUMPRODUCT(--EXACT($D$6:$D$105,D61))&gt;1,"TRÙNG MÃ VẬT LÝ",""))</f>
        <v/>
      </c>
      <c r="X61" s="7"/>
    </row>
    <row r="62" spans="1:24" ht="32" customHeight="1">
      <c r="A62" s="7"/>
      <c r="B62" s="7"/>
      <c r="C62" s="7"/>
      <c r="D62" s="7"/>
      <c r="E62" s="7"/>
      <c r="F62" s="7"/>
      <c r="G62" s="7"/>
      <c r="H62" s="10"/>
      <c r="I62" s="10"/>
      <c r="J62" s="10"/>
      <c r="K62" s="7"/>
      <c r="L62" s="7"/>
      <c r="M62" s="7"/>
      <c r="N62" s="7"/>
      <c r="O62" s="7"/>
      <c r="P62" s="7"/>
      <c r="Q62" s="10"/>
      <c r="R62" s="10"/>
      <c r="S62" s="7"/>
      <c r="T62" s="10"/>
      <c r="U62" s="10"/>
      <c r="V62" s="7"/>
      <c r="W62" s="9">
        <f>IF(D62="","",IF(SUMPRODUCT(--EXACT($D$6:$D$105,D62))&gt;1,"TRÙNG MÃ VẬT LÝ",""))</f>
        <v/>
      </c>
      <c r="X62" s="7"/>
    </row>
    <row r="63" spans="1:24" ht="32" customHeight="1">
      <c r="A63" s="7"/>
      <c r="B63" s="7"/>
      <c r="C63" s="7"/>
      <c r="D63" s="7"/>
      <c r="E63" s="7"/>
      <c r="F63" s="7"/>
      <c r="G63" s="7"/>
      <c r="H63" s="10"/>
      <c r="I63" s="10"/>
      <c r="J63" s="10"/>
      <c r="K63" s="7"/>
      <c r="L63" s="7"/>
      <c r="M63" s="7"/>
      <c r="N63" s="7"/>
      <c r="O63" s="7"/>
      <c r="P63" s="7"/>
      <c r="Q63" s="10"/>
      <c r="R63" s="10"/>
      <c r="S63" s="7"/>
      <c r="T63" s="10"/>
      <c r="U63" s="10"/>
      <c r="V63" s="7"/>
      <c r="W63" s="9">
        <f>IF(D63="","",IF(SUMPRODUCT(--EXACT($D$6:$D$105,D63))&gt;1,"TRÙNG MÃ VẬT LÝ",""))</f>
        <v/>
      </c>
      <c r="X63" s="7"/>
    </row>
    <row r="64" spans="1:24" ht="32" customHeight="1">
      <c r="A64" s="7"/>
      <c r="B64" s="7"/>
      <c r="C64" s="7"/>
      <c r="D64" s="7"/>
      <c r="E64" s="7"/>
      <c r="F64" s="7"/>
      <c r="G64" s="7"/>
      <c r="H64" s="10"/>
      <c r="I64" s="10"/>
      <c r="J64" s="10"/>
      <c r="K64" s="7"/>
      <c r="L64" s="7"/>
      <c r="M64" s="7"/>
      <c r="N64" s="7"/>
      <c r="O64" s="7"/>
      <c r="P64" s="7"/>
      <c r="Q64" s="10"/>
      <c r="R64" s="10"/>
      <c r="S64" s="7"/>
      <c r="T64" s="10"/>
      <c r="U64" s="10"/>
      <c r="V64" s="7"/>
      <c r="W64" s="9">
        <f>IF(D64="","",IF(SUMPRODUCT(--EXACT($D$6:$D$105,D64))&gt;1,"TRÙNG MÃ VẬT LÝ",""))</f>
        <v/>
      </c>
      <c r="X64" s="7"/>
    </row>
    <row r="65" spans="1:24" ht="32" customHeight="1">
      <c r="A65" s="7"/>
      <c r="B65" s="7"/>
      <c r="C65" s="7"/>
      <c r="D65" s="7"/>
      <c r="E65" s="7"/>
      <c r="F65" s="7"/>
      <c r="G65" s="7"/>
      <c r="H65" s="10"/>
      <c r="I65" s="10"/>
      <c r="J65" s="10"/>
      <c r="K65" s="7"/>
      <c r="L65" s="7"/>
      <c r="M65" s="7"/>
      <c r="N65" s="7"/>
      <c r="O65" s="7"/>
      <c r="P65" s="7"/>
      <c r="Q65" s="10"/>
      <c r="R65" s="10"/>
      <c r="S65" s="7"/>
      <c r="T65" s="10"/>
      <c r="U65" s="10"/>
      <c r="V65" s="7"/>
      <c r="W65" s="9">
        <f>IF(D65="","",IF(SUMPRODUCT(--EXACT($D$6:$D$105,D65))&gt;1,"TRÙNG MÃ VẬT LÝ",""))</f>
        <v/>
      </c>
      <c r="X65" s="7"/>
    </row>
    <row r="66" spans="1:24" ht="32" customHeight="1">
      <c r="A66" s="7"/>
      <c r="B66" s="7"/>
      <c r="C66" s="7"/>
      <c r="D66" s="7"/>
      <c r="E66" s="7"/>
      <c r="F66" s="7"/>
      <c r="G66" s="7"/>
      <c r="H66" s="10"/>
      <c r="I66" s="10"/>
      <c r="J66" s="10"/>
      <c r="K66" s="7"/>
      <c r="L66" s="7"/>
      <c r="M66" s="7"/>
      <c r="N66" s="7"/>
      <c r="O66" s="7"/>
      <c r="P66" s="7"/>
      <c r="Q66" s="10"/>
      <c r="R66" s="10"/>
      <c r="S66" s="7"/>
      <c r="T66" s="10"/>
      <c r="U66" s="10"/>
      <c r="V66" s="7"/>
      <c r="W66" s="9">
        <f>IF(D66="","",IF(SUMPRODUCT(--EXACT($D$6:$D$105,D66))&gt;1,"TRÙNG MÃ VẬT LÝ",""))</f>
        <v/>
      </c>
      <c r="X66" s="7"/>
    </row>
    <row r="67" spans="1:24" ht="32" customHeight="1">
      <c r="A67" s="7"/>
      <c r="B67" s="7"/>
      <c r="C67" s="7"/>
      <c r="D67" s="7"/>
      <c r="E67" s="7"/>
      <c r="F67" s="7"/>
      <c r="G67" s="7"/>
      <c r="H67" s="10"/>
      <c r="I67" s="10"/>
      <c r="J67" s="10"/>
      <c r="K67" s="7"/>
      <c r="L67" s="7"/>
      <c r="M67" s="7"/>
      <c r="N67" s="7"/>
      <c r="O67" s="7"/>
      <c r="P67" s="7"/>
      <c r="Q67" s="10"/>
      <c r="R67" s="10"/>
      <c r="S67" s="7"/>
      <c r="T67" s="10"/>
      <c r="U67" s="10"/>
      <c r="V67" s="7"/>
      <c r="W67" s="9">
        <f>IF(D67="","",IF(SUMPRODUCT(--EXACT($D$6:$D$105,D67))&gt;1,"TRÙNG MÃ VẬT LÝ",""))</f>
        <v/>
      </c>
      <c r="X67" s="7"/>
    </row>
    <row r="68" spans="1:24" ht="32" customHeight="1">
      <c r="A68" s="7"/>
      <c r="B68" s="7"/>
      <c r="C68" s="7"/>
      <c r="D68" s="7"/>
      <c r="E68" s="7"/>
      <c r="F68" s="7"/>
      <c r="G68" s="7"/>
      <c r="H68" s="10"/>
      <c r="I68" s="10"/>
      <c r="J68" s="10"/>
      <c r="K68" s="7"/>
      <c r="L68" s="7"/>
      <c r="M68" s="7"/>
      <c r="N68" s="7"/>
      <c r="O68" s="7"/>
      <c r="P68" s="7"/>
      <c r="Q68" s="10"/>
      <c r="R68" s="10"/>
      <c r="S68" s="7"/>
      <c r="T68" s="10"/>
      <c r="U68" s="10"/>
      <c r="V68" s="7"/>
      <c r="W68" s="9">
        <f>IF(D68="","",IF(SUMPRODUCT(--EXACT($D$6:$D$105,D68))&gt;1,"TRÙNG MÃ VẬT LÝ",""))</f>
        <v/>
      </c>
      <c r="X68" s="7"/>
    </row>
    <row r="69" spans="1:24" ht="32" customHeight="1">
      <c r="A69" s="7"/>
      <c r="B69" s="7"/>
      <c r="C69" s="7"/>
      <c r="D69" s="7"/>
      <c r="E69" s="7"/>
      <c r="F69" s="7"/>
      <c r="G69" s="7"/>
      <c r="H69" s="10"/>
      <c r="I69" s="10"/>
      <c r="J69" s="10"/>
      <c r="K69" s="7"/>
      <c r="L69" s="7"/>
      <c r="M69" s="7"/>
      <c r="N69" s="7"/>
      <c r="O69" s="7"/>
      <c r="P69" s="7"/>
      <c r="Q69" s="10"/>
      <c r="R69" s="10"/>
      <c r="S69" s="7"/>
      <c r="T69" s="10"/>
      <c r="U69" s="10"/>
      <c r="V69" s="7"/>
      <c r="W69" s="9">
        <f>IF(D69="","",IF(SUMPRODUCT(--EXACT($D$6:$D$105,D69))&gt;1,"TRÙNG MÃ VẬT LÝ",""))</f>
        <v/>
      </c>
      <c r="X69" s="7"/>
    </row>
    <row r="70" spans="1:24" ht="32" customHeight="1">
      <c r="A70" s="7"/>
      <c r="B70" s="7"/>
      <c r="C70" s="7"/>
      <c r="D70" s="7"/>
      <c r="E70" s="7"/>
      <c r="F70" s="7"/>
      <c r="G70" s="7"/>
      <c r="H70" s="10"/>
      <c r="I70" s="10"/>
      <c r="J70" s="10"/>
      <c r="K70" s="7"/>
      <c r="L70" s="7"/>
      <c r="M70" s="7"/>
      <c r="N70" s="7"/>
      <c r="O70" s="7"/>
      <c r="P70" s="7"/>
      <c r="Q70" s="10"/>
      <c r="R70" s="10"/>
      <c r="S70" s="7"/>
      <c r="T70" s="10"/>
      <c r="U70" s="10"/>
      <c r="V70" s="7"/>
      <c r="W70" s="9">
        <f>IF(D70="","",IF(SUMPRODUCT(--EXACT($D$6:$D$105,D70))&gt;1,"TRÙNG MÃ VẬT LÝ",""))</f>
        <v/>
      </c>
      <c r="X70" s="7"/>
    </row>
    <row r="71" spans="1:24" ht="32" customHeight="1">
      <c r="A71" s="7"/>
      <c r="B71" s="7"/>
      <c r="C71" s="7"/>
      <c r="D71" s="7"/>
      <c r="E71" s="7"/>
      <c r="F71" s="7"/>
      <c r="G71" s="7"/>
      <c r="H71" s="10"/>
      <c r="I71" s="10"/>
      <c r="J71" s="10"/>
      <c r="K71" s="7"/>
      <c r="L71" s="7"/>
      <c r="M71" s="7"/>
      <c r="N71" s="7"/>
      <c r="O71" s="7"/>
      <c r="P71" s="7"/>
      <c r="Q71" s="10"/>
      <c r="R71" s="10"/>
      <c r="S71" s="7"/>
      <c r="T71" s="10"/>
      <c r="U71" s="10"/>
      <c r="V71" s="7"/>
      <c r="W71" s="9">
        <f>IF(D71="","",IF(SUMPRODUCT(--EXACT($D$6:$D$105,D71))&gt;1,"TRÙNG MÃ VẬT LÝ",""))</f>
        <v/>
      </c>
      <c r="X71" s="7"/>
    </row>
    <row r="72" spans="1:24" ht="32" customHeight="1">
      <c r="A72" s="7"/>
      <c r="B72" s="7"/>
      <c r="C72" s="7"/>
      <c r="D72" s="7"/>
      <c r="E72" s="7"/>
      <c r="F72" s="7"/>
      <c r="G72" s="7"/>
      <c r="H72" s="10"/>
      <c r="I72" s="10"/>
      <c r="J72" s="10"/>
      <c r="K72" s="7"/>
      <c r="L72" s="7"/>
      <c r="M72" s="7"/>
      <c r="N72" s="7"/>
      <c r="O72" s="7"/>
      <c r="P72" s="7"/>
      <c r="Q72" s="10"/>
      <c r="R72" s="10"/>
      <c r="S72" s="7"/>
      <c r="T72" s="10"/>
      <c r="U72" s="10"/>
      <c r="V72" s="7"/>
      <c r="W72" s="9">
        <f>IF(D72="","",IF(SUMPRODUCT(--EXACT($D$6:$D$105,D72))&gt;1,"TRÙNG MÃ VẬT LÝ",""))</f>
        <v/>
      </c>
      <c r="X72" s="7"/>
    </row>
    <row r="73" spans="1:24" ht="32" customHeight="1">
      <c r="A73" s="7"/>
      <c r="B73" s="7"/>
      <c r="C73" s="7"/>
      <c r="D73" s="7"/>
      <c r="E73" s="7"/>
      <c r="F73" s="7"/>
      <c r="G73" s="7"/>
      <c r="H73" s="10"/>
      <c r="I73" s="10"/>
      <c r="J73" s="10"/>
      <c r="K73" s="7"/>
      <c r="L73" s="7"/>
      <c r="M73" s="7"/>
      <c r="N73" s="7"/>
      <c r="O73" s="7"/>
      <c r="P73" s="7"/>
      <c r="Q73" s="10"/>
      <c r="R73" s="10"/>
      <c r="S73" s="7"/>
      <c r="T73" s="10"/>
      <c r="U73" s="10"/>
      <c r="V73" s="7"/>
      <c r="W73" s="9">
        <f>IF(D73="","",IF(SUMPRODUCT(--EXACT($D$6:$D$105,D73))&gt;1,"TRÙNG MÃ VẬT LÝ",""))</f>
        <v/>
      </c>
      <c r="X73" s="7"/>
    </row>
    <row r="74" spans="1:24" ht="32" customHeight="1">
      <c r="A74" s="7"/>
      <c r="B74" s="7"/>
      <c r="C74" s="7"/>
      <c r="D74" s="7"/>
      <c r="E74" s="7"/>
      <c r="F74" s="7"/>
      <c r="G74" s="7"/>
      <c r="H74" s="10"/>
      <c r="I74" s="10"/>
      <c r="J74" s="10"/>
      <c r="K74" s="7"/>
      <c r="L74" s="7"/>
      <c r="M74" s="7"/>
      <c r="N74" s="7"/>
      <c r="O74" s="7"/>
      <c r="P74" s="7"/>
      <c r="Q74" s="10"/>
      <c r="R74" s="10"/>
      <c r="S74" s="7"/>
      <c r="T74" s="10"/>
      <c r="U74" s="10"/>
      <c r="V74" s="7"/>
      <c r="W74" s="9">
        <f>IF(D74="","",IF(SUMPRODUCT(--EXACT($D$6:$D$105,D74))&gt;1,"TRÙNG MÃ VẬT LÝ",""))</f>
        <v/>
      </c>
      <c r="X74" s="7"/>
    </row>
    <row r="75" spans="1:24" ht="32" customHeight="1">
      <c r="A75" s="7"/>
      <c r="B75" s="7"/>
      <c r="C75" s="7"/>
      <c r="D75" s="7"/>
      <c r="E75" s="7"/>
      <c r="F75" s="7"/>
      <c r="G75" s="7"/>
      <c r="H75" s="10"/>
      <c r="I75" s="10"/>
      <c r="J75" s="10"/>
      <c r="K75" s="7"/>
      <c r="L75" s="7"/>
      <c r="M75" s="7"/>
      <c r="N75" s="7"/>
      <c r="O75" s="7"/>
      <c r="P75" s="7"/>
      <c r="Q75" s="10"/>
      <c r="R75" s="10"/>
      <c r="S75" s="7"/>
      <c r="T75" s="10"/>
      <c r="U75" s="10"/>
      <c r="V75" s="7"/>
      <c r="W75" s="9">
        <f>IF(D75="","",IF(SUMPRODUCT(--EXACT($D$6:$D$105,D75))&gt;1,"TRÙNG MÃ VẬT LÝ",""))</f>
        <v/>
      </c>
      <c r="X75" s="7"/>
    </row>
    <row r="76" spans="1:24" ht="32" customHeight="1">
      <c r="A76" s="7"/>
      <c r="B76" s="7"/>
      <c r="C76" s="7"/>
      <c r="D76" s="7"/>
      <c r="E76" s="7"/>
      <c r="F76" s="7"/>
      <c r="G76" s="7"/>
      <c r="H76" s="10"/>
      <c r="I76" s="10"/>
      <c r="J76" s="10"/>
      <c r="K76" s="7"/>
      <c r="L76" s="7"/>
      <c r="M76" s="7"/>
      <c r="N76" s="7"/>
      <c r="O76" s="7"/>
      <c r="P76" s="7"/>
      <c r="Q76" s="10"/>
      <c r="R76" s="10"/>
      <c r="S76" s="7"/>
      <c r="T76" s="10"/>
      <c r="U76" s="10"/>
      <c r="V76" s="7"/>
      <c r="W76" s="9">
        <f>IF(D76="","",IF(SUMPRODUCT(--EXACT($D$6:$D$105,D76))&gt;1,"TRÙNG MÃ VẬT LÝ",""))</f>
        <v/>
      </c>
      <c r="X76" s="7"/>
    </row>
    <row r="77" spans="1:24" ht="32" customHeight="1">
      <c r="A77" s="7"/>
      <c r="B77" s="7"/>
      <c r="C77" s="7"/>
      <c r="D77" s="7"/>
      <c r="E77" s="7"/>
      <c r="F77" s="7"/>
      <c r="G77" s="7"/>
      <c r="H77" s="10"/>
      <c r="I77" s="10"/>
      <c r="J77" s="10"/>
      <c r="K77" s="7"/>
      <c r="L77" s="7"/>
      <c r="M77" s="7"/>
      <c r="N77" s="7"/>
      <c r="O77" s="7"/>
      <c r="P77" s="7"/>
      <c r="Q77" s="10"/>
      <c r="R77" s="10"/>
      <c r="S77" s="7"/>
      <c r="T77" s="10"/>
      <c r="U77" s="10"/>
      <c r="V77" s="7"/>
      <c r="W77" s="9">
        <f>IF(D77="","",IF(SUMPRODUCT(--EXACT($D$6:$D$105,D77))&gt;1,"TRÙNG MÃ VẬT LÝ",""))</f>
        <v/>
      </c>
      <c r="X77" s="7"/>
    </row>
    <row r="78" spans="1:24" ht="32" customHeight="1">
      <c r="A78" s="7"/>
      <c r="B78" s="7"/>
      <c r="C78" s="7"/>
      <c r="D78" s="7"/>
      <c r="E78" s="7"/>
      <c r="F78" s="7"/>
      <c r="G78" s="7"/>
      <c r="H78" s="10"/>
      <c r="I78" s="10"/>
      <c r="J78" s="10"/>
      <c r="K78" s="7"/>
      <c r="L78" s="7"/>
      <c r="M78" s="7"/>
      <c r="N78" s="7"/>
      <c r="O78" s="7"/>
      <c r="P78" s="7"/>
      <c r="Q78" s="10"/>
      <c r="R78" s="10"/>
      <c r="S78" s="7"/>
      <c r="T78" s="10"/>
      <c r="U78" s="10"/>
      <c r="V78" s="7"/>
      <c r="W78" s="9">
        <f>IF(D78="","",IF(SUMPRODUCT(--EXACT($D$6:$D$105,D78))&gt;1,"TRÙNG MÃ VẬT LÝ",""))</f>
        <v/>
      </c>
      <c r="X78" s="7"/>
    </row>
    <row r="79" spans="1:24" ht="32" customHeight="1">
      <c r="A79" s="7"/>
      <c r="B79" s="7"/>
      <c r="C79" s="7"/>
      <c r="D79" s="7"/>
      <c r="E79" s="7"/>
      <c r="F79" s="7"/>
      <c r="G79" s="7"/>
      <c r="H79" s="10"/>
      <c r="I79" s="10"/>
      <c r="J79" s="10"/>
      <c r="K79" s="7"/>
      <c r="L79" s="7"/>
      <c r="M79" s="7"/>
      <c r="N79" s="7"/>
      <c r="O79" s="7"/>
      <c r="P79" s="7"/>
      <c r="Q79" s="10"/>
      <c r="R79" s="10"/>
      <c r="S79" s="7"/>
      <c r="T79" s="10"/>
      <c r="U79" s="10"/>
      <c r="V79" s="7"/>
      <c r="W79" s="9">
        <f>IF(D79="","",IF(SUMPRODUCT(--EXACT($D$6:$D$105,D79))&gt;1,"TRÙNG MÃ VẬT LÝ",""))</f>
        <v/>
      </c>
      <c r="X79" s="7"/>
    </row>
    <row r="80" spans="1:24" ht="32" customHeight="1">
      <c r="A80" s="7"/>
      <c r="B80" s="7"/>
      <c r="C80" s="7"/>
      <c r="D80" s="7"/>
      <c r="E80" s="7"/>
      <c r="F80" s="7"/>
      <c r="G80" s="7"/>
      <c r="H80" s="10"/>
      <c r="I80" s="10"/>
      <c r="J80" s="10"/>
      <c r="K80" s="7"/>
      <c r="L80" s="7"/>
      <c r="M80" s="7"/>
      <c r="N80" s="7"/>
      <c r="O80" s="7"/>
      <c r="P80" s="7"/>
      <c r="Q80" s="10"/>
      <c r="R80" s="10"/>
      <c r="S80" s="7"/>
      <c r="T80" s="10"/>
      <c r="U80" s="10"/>
      <c r="V80" s="7"/>
      <c r="W80" s="9">
        <f>IF(D80="","",IF(SUMPRODUCT(--EXACT($D$6:$D$105,D80))&gt;1,"TRÙNG MÃ VẬT LÝ",""))</f>
        <v/>
      </c>
      <c r="X80" s="7"/>
    </row>
    <row r="81" spans="1:24" ht="32" customHeight="1">
      <c r="A81" s="7"/>
      <c r="B81" s="7"/>
      <c r="C81" s="7"/>
      <c r="D81" s="7"/>
      <c r="E81" s="7"/>
      <c r="F81" s="7"/>
      <c r="G81" s="7"/>
      <c r="H81" s="10"/>
      <c r="I81" s="10"/>
      <c r="J81" s="10"/>
      <c r="K81" s="7"/>
      <c r="L81" s="7"/>
      <c r="M81" s="7"/>
      <c r="N81" s="7"/>
      <c r="O81" s="7"/>
      <c r="P81" s="7"/>
      <c r="Q81" s="10"/>
      <c r="R81" s="10"/>
      <c r="S81" s="7"/>
      <c r="T81" s="10"/>
      <c r="U81" s="10"/>
      <c r="V81" s="7"/>
      <c r="W81" s="9">
        <f>IF(D81="","",IF(SUMPRODUCT(--EXACT($D$6:$D$105,D81))&gt;1,"TRÙNG MÃ VẬT LÝ",""))</f>
        <v/>
      </c>
      <c r="X81" s="7"/>
    </row>
    <row r="82" spans="1:24" ht="32" customHeight="1">
      <c r="A82" s="7"/>
      <c r="B82" s="7"/>
      <c r="C82" s="7"/>
      <c r="D82" s="7"/>
      <c r="E82" s="7"/>
      <c r="F82" s="7"/>
      <c r="G82" s="7"/>
      <c r="H82" s="10"/>
      <c r="I82" s="10"/>
      <c r="J82" s="10"/>
      <c r="K82" s="7"/>
      <c r="L82" s="7"/>
      <c r="M82" s="7"/>
      <c r="N82" s="7"/>
      <c r="O82" s="7"/>
      <c r="P82" s="7"/>
      <c r="Q82" s="10"/>
      <c r="R82" s="10"/>
      <c r="S82" s="7"/>
      <c r="T82" s="10"/>
      <c r="U82" s="10"/>
      <c r="V82" s="7"/>
      <c r="W82" s="9">
        <f>IF(D82="","",IF(SUMPRODUCT(--EXACT($D$6:$D$105,D82))&gt;1,"TRÙNG MÃ VẬT LÝ",""))</f>
        <v/>
      </c>
      <c r="X82" s="7"/>
    </row>
    <row r="83" spans="1:24" ht="32" customHeight="1">
      <c r="A83" s="7"/>
      <c r="B83" s="7"/>
      <c r="C83" s="7"/>
      <c r="D83" s="7"/>
      <c r="E83" s="7"/>
      <c r="F83" s="7"/>
      <c r="G83" s="7"/>
      <c r="H83" s="10"/>
      <c r="I83" s="10"/>
      <c r="J83" s="10"/>
      <c r="K83" s="7"/>
      <c r="L83" s="7"/>
      <c r="M83" s="7"/>
      <c r="N83" s="7"/>
      <c r="O83" s="7"/>
      <c r="P83" s="7"/>
      <c r="Q83" s="10"/>
      <c r="R83" s="10"/>
      <c r="S83" s="7"/>
      <c r="T83" s="10"/>
      <c r="U83" s="10"/>
      <c r="V83" s="7"/>
      <c r="W83" s="9">
        <f>IF(D83="","",IF(SUMPRODUCT(--EXACT($D$6:$D$105,D83))&gt;1,"TRÙNG MÃ VẬT LÝ",""))</f>
        <v/>
      </c>
      <c r="X83" s="7"/>
    </row>
    <row r="84" spans="1:24" ht="32" customHeight="1">
      <c r="A84" s="7"/>
      <c r="B84" s="7"/>
      <c r="C84" s="7"/>
      <c r="D84" s="7"/>
      <c r="E84" s="7"/>
      <c r="F84" s="7"/>
      <c r="G84" s="7"/>
      <c r="H84" s="10"/>
      <c r="I84" s="10"/>
      <c r="J84" s="10"/>
      <c r="K84" s="7"/>
      <c r="L84" s="7"/>
      <c r="M84" s="7"/>
      <c r="N84" s="7"/>
      <c r="O84" s="7"/>
      <c r="P84" s="7"/>
      <c r="Q84" s="10"/>
      <c r="R84" s="10"/>
      <c r="S84" s="7"/>
      <c r="T84" s="10"/>
      <c r="U84" s="10"/>
      <c r="V84" s="7"/>
      <c r="W84" s="9">
        <f>IF(D84="","",IF(SUMPRODUCT(--EXACT($D$6:$D$105,D84))&gt;1,"TRÙNG MÃ VẬT LÝ",""))</f>
        <v/>
      </c>
      <c r="X84" s="7"/>
    </row>
    <row r="85" spans="1:24" ht="32" customHeight="1">
      <c r="A85" s="7"/>
      <c r="B85" s="7"/>
      <c r="C85" s="7"/>
      <c r="D85" s="7"/>
      <c r="E85" s="7"/>
      <c r="F85" s="7"/>
      <c r="G85" s="7"/>
      <c r="H85" s="10"/>
      <c r="I85" s="10"/>
      <c r="J85" s="10"/>
      <c r="K85" s="7"/>
      <c r="L85" s="7"/>
      <c r="M85" s="7"/>
      <c r="N85" s="7"/>
      <c r="O85" s="7"/>
      <c r="P85" s="7"/>
      <c r="Q85" s="10"/>
      <c r="R85" s="10"/>
      <c r="S85" s="7"/>
      <c r="T85" s="10"/>
      <c r="U85" s="10"/>
      <c r="V85" s="7"/>
      <c r="W85" s="9">
        <f>IF(D85="","",IF(SUMPRODUCT(--EXACT($D$6:$D$105,D85))&gt;1,"TRÙNG MÃ VẬT LÝ",""))</f>
        <v/>
      </c>
      <c r="X85" s="7"/>
    </row>
    <row r="86" spans="1:24" ht="32" customHeight="1">
      <c r="A86" s="7"/>
      <c r="B86" s="7"/>
      <c r="C86" s="7"/>
      <c r="D86" s="7"/>
      <c r="E86" s="7"/>
      <c r="F86" s="7"/>
      <c r="G86" s="7"/>
      <c r="H86" s="10"/>
      <c r="I86" s="10"/>
      <c r="J86" s="10"/>
      <c r="K86" s="7"/>
      <c r="L86" s="7"/>
      <c r="M86" s="7"/>
      <c r="N86" s="7"/>
      <c r="O86" s="7"/>
      <c r="P86" s="7"/>
      <c r="Q86" s="10"/>
      <c r="R86" s="10"/>
      <c r="S86" s="7"/>
      <c r="T86" s="10"/>
      <c r="U86" s="10"/>
      <c r="V86" s="7"/>
      <c r="W86" s="9">
        <f>IF(D86="","",IF(SUMPRODUCT(--EXACT($D$6:$D$105,D86))&gt;1,"TRÙNG MÃ VẬT LÝ",""))</f>
        <v/>
      </c>
      <c r="X86" s="7"/>
    </row>
    <row r="87" spans="1:24" ht="32" customHeight="1">
      <c r="A87" s="7"/>
      <c r="B87" s="7"/>
      <c r="C87" s="7"/>
      <c r="D87" s="7"/>
      <c r="E87" s="7"/>
      <c r="F87" s="7"/>
      <c r="G87" s="7"/>
      <c r="H87" s="10"/>
      <c r="I87" s="10"/>
      <c r="J87" s="10"/>
      <c r="K87" s="7"/>
      <c r="L87" s="7"/>
      <c r="M87" s="7"/>
      <c r="N87" s="7"/>
      <c r="O87" s="7"/>
      <c r="P87" s="7"/>
      <c r="Q87" s="10"/>
      <c r="R87" s="10"/>
      <c r="S87" s="7"/>
      <c r="T87" s="10"/>
      <c r="U87" s="10"/>
      <c r="V87" s="7"/>
      <c r="W87" s="9">
        <f>IF(D87="","",IF(SUMPRODUCT(--EXACT($D$6:$D$105,D87))&gt;1,"TRÙNG MÃ VẬT LÝ",""))</f>
        <v/>
      </c>
      <c r="X87" s="7"/>
    </row>
    <row r="88" spans="1:24" ht="32" customHeight="1">
      <c r="A88" s="7"/>
      <c r="B88" s="7"/>
      <c r="C88" s="7"/>
      <c r="D88" s="7"/>
      <c r="E88" s="7"/>
      <c r="F88" s="7"/>
      <c r="G88" s="7"/>
      <c r="H88" s="10"/>
      <c r="I88" s="10"/>
      <c r="J88" s="10"/>
      <c r="K88" s="7"/>
      <c r="L88" s="7"/>
      <c r="M88" s="7"/>
      <c r="N88" s="7"/>
      <c r="O88" s="7"/>
      <c r="P88" s="7"/>
      <c r="Q88" s="10"/>
      <c r="R88" s="10"/>
      <c r="S88" s="7"/>
      <c r="T88" s="10"/>
      <c r="U88" s="10"/>
      <c r="V88" s="7"/>
      <c r="W88" s="9">
        <f>IF(D88="","",IF(SUMPRODUCT(--EXACT($D$6:$D$105,D88))&gt;1,"TRÙNG MÃ VẬT LÝ",""))</f>
        <v/>
      </c>
      <c r="X88" s="7"/>
    </row>
    <row r="89" spans="1:24" ht="32" customHeight="1">
      <c r="A89" s="7"/>
      <c r="B89" s="7"/>
      <c r="C89" s="7"/>
      <c r="D89" s="7"/>
      <c r="E89" s="7"/>
      <c r="F89" s="7"/>
      <c r="G89" s="7"/>
      <c r="H89" s="10"/>
      <c r="I89" s="10"/>
      <c r="J89" s="10"/>
      <c r="K89" s="7"/>
      <c r="L89" s="7"/>
      <c r="M89" s="7"/>
      <c r="N89" s="7"/>
      <c r="O89" s="7"/>
      <c r="P89" s="7"/>
      <c r="Q89" s="10"/>
      <c r="R89" s="10"/>
      <c r="S89" s="7"/>
      <c r="T89" s="10"/>
      <c r="U89" s="10"/>
      <c r="V89" s="7"/>
      <c r="W89" s="9">
        <f>IF(D89="","",IF(SUMPRODUCT(--EXACT($D$6:$D$105,D89))&gt;1,"TRÙNG MÃ VẬT LÝ",""))</f>
        <v/>
      </c>
      <c r="X89" s="7"/>
    </row>
    <row r="90" spans="1:24" ht="32" customHeight="1">
      <c r="A90" s="7"/>
      <c r="B90" s="7"/>
      <c r="C90" s="7"/>
      <c r="D90" s="7"/>
      <c r="E90" s="7"/>
      <c r="F90" s="7"/>
      <c r="G90" s="7"/>
      <c r="H90" s="10"/>
      <c r="I90" s="10"/>
      <c r="J90" s="10"/>
      <c r="K90" s="7"/>
      <c r="L90" s="7"/>
      <c r="M90" s="7"/>
      <c r="N90" s="7"/>
      <c r="O90" s="7"/>
      <c r="P90" s="7"/>
      <c r="Q90" s="10"/>
      <c r="R90" s="10"/>
      <c r="S90" s="7"/>
      <c r="T90" s="10"/>
      <c r="U90" s="10"/>
      <c r="V90" s="7"/>
      <c r="W90" s="9">
        <f>IF(D90="","",IF(SUMPRODUCT(--EXACT($D$6:$D$105,D90))&gt;1,"TRÙNG MÃ VẬT LÝ",""))</f>
        <v/>
      </c>
      <c r="X90" s="7"/>
    </row>
    <row r="91" spans="1:24" ht="32" customHeight="1">
      <c r="A91" s="7"/>
      <c r="B91" s="7"/>
      <c r="C91" s="7"/>
      <c r="D91" s="7"/>
      <c r="E91" s="7"/>
      <c r="F91" s="7"/>
      <c r="G91" s="7"/>
      <c r="H91" s="10"/>
      <c r="I91" s="10"/>
      <c r="J91" s="10"/>
      <c r="K91" s="7"/>
      <c r="L91" s="7"/>
      <c r="M91" s="7"/>
      <c r="N91" s="7"/>
      <c r="O91" s="7"/>
      <c r="P91" s="7"/>
      <c r="Q91" s="10"/>
      <c r="R91" s="10"/>
      <c r="S91" s="7"/>
      <c r="T91" s="10"/>
      <c r="U91" s="10"/>
      <c r="V91" s="7"/>
      <c r="W91" s="9">
        <f>IF(D91="","",IF(SUMPRODUCT(--EXACT($D$6:$D$105,D91))&gt;1,"TRÙNG MÃ VẬT LÝ",""))</f>
        <v/>
      </c>
      <c r="X91" s="7"/>
    </row>
    <row r="92" spans="1:24" ht="32" customHeight="1">
      <c r="A92" s="7"/>
      <c r="B92" s="7"/>
      <c r="C92" s="7"/>
      <c r="D92" s="7"/>
      <c r="E92" s="7"/>
      <c r="F92" s="7"/>
      <c r="G92" s="7"/>
      <c r="H92" s="10"/>
      <c r="I92" s="10"/>
      <c r="J92" s="10"/>
      <c r="K92" s="7"/>
      <c r="L92" s="7"/>
      <c r="M92" s="7"/>
      <c r="N92" s="7"/>
      <c r="O92" s="7"/>
      <c r="P92" s="7"/>
      <c r="Q92" s="10"/>
      <c r="R92" s="10"/>
      <c r="S92" s="7"/>
      <c r="T92" s="10"/>
      <c r="U92" s="10"/>
      <c r="V92" s="7"/>
      <c r="W92" s="9">
        <f>IF(D92="","",IF(SUMPRODUCT(--EXACT($D$6:$D$105,D92))&gt;1,"TRÙNG MÃ VẬT LÝ",""))</f>
        <v/>
      </c>
      <c r="X92" s="7"/>
    </row>
    <row r="93" spans="1:24" ht="32" customHeight="1">
      <c r="A93" s="7"/>
      <c r="B93" s="7"/>
      <c r="C93" s="7"/>
      <c r="D93" s="7"/>
      <c r="E93" s="7"/>
      <c r="F93" s="7"/>
      <c r="G93" s="7"/>
      <c r="H93" s="10"/>
      <c r="I93" s="10"/>
      <c r="J93" s="10"/>
      <c r="K93" s="7"/>
      <c r="L93" s="7"/>
      <c r="M93" s="7"/>
      <c r="N93" s="7"/>
      <c r="O93" s="7"/>
      <c r="P93" s="7"/>
      <c r="Q93" s="10"/>
      <c r="R93" s="10"/>
      <c r="S93" s="7"/>
      <c r="T93" s="10"/>
      <c r="U93" s="10"/>
      <c r="V93" s="7"/>
      <c r="W93" s="9">
        <f>IF(D93="","",IF(SUMPRODUCT(--EXACT($D$6:$D$105,D93))&gt;1,"TRÙNG MÃ VẬT LÝ",""))</f>
        <v/>
      </c>
      <c r="X93" s="7"/>
    </row>
    <row r="94" spans="1:24" ht="32" customHeight="1">
      <c r="A94" s="7"/>
      <c r="B94" s="7"/>
      <c r="C94" s="7"/>
      <c r="D94" s="7"/>
      <c r="E94" s="7"/>
      <c r="F94" s="7"/>
      <c r="G94" s="7"/>
      <c r="H94" s="10"/>
      <c r="I94" s="10"/>
      <c r="J94" s="10"/>
      <c r="K94" s="7"/>
      <c r="L94" s="7"/>
      <c r="M94" s="7"/>
      <c r="N94" s="7"/>
      <c r="O94" s="7"/>
      <c r="P94" s="7"/>
      <c r="Q94" s="10"/>
      <c r="R94" s="10"/>
      <c r="S94" s="7"/>
      <c r="T94" s="10"/>
      <c r="U94" s="10"/>
      <c r="V94" s="7"/>
      <c r="W94" s="9">
        <f>IF(D94="","",IF(SUMPRODUCT(--EXACT($D$6:$D$105,D94))&gt;1,"TRÙNG MÃ VẬT LÝ",""))</f>
        <v/>
      </c>
      <c r="X94" s="7"/>
    </row>
    <row r="95" spans="1:24" ht="32" customHeight="1">
      <c r="A95" s="7"/>
      <c r="B95" s="7"/>
      <c r="C95" s="7"/>
      <c r="D95" s="7"/>
      <c r="E95" s="7"/>
      <c r="F95" s="7"/>
      <c r="G95" s="7"/>
      <c r="H95" s="10"/>
      <c r="I95" s="10"/>
      <c r="J95" s="10"/>
      <c r="K95" s="7"/>
      <c r="L95" s="7"/>
      <c r="M95" s="7"/>
      <c r="N95" s="7"/>
      <c r="O95" s="7"/>
      <c r="P95" s="7"/>
      <c r="Q95" s="10"/>
      <c r="R95" s="10"/>
      <c r="S95" s="7"/>
      <c r="T95" s="10"/>
      <c r="U95" s="10"/>
      <c r="V95" s="7"/>
      <c r="W95" s="9">
        <f>IF(D95="","",IF(SUMPRODUCT(--EXACT($D$6:$D$105,D95))&gt;1,"TRÙNG MÃ VẬT LÝ",""))</f>
        <v/>
      </c>
      <c r="X95" s="7"/>
    </row>
    <row r="96" spans="1:24" ht="32" customHeight="1">
      <c r="A96" s="7"/>
      <c r="B96" s="7"/>
      <c r="C96" s="7"/>
      <c r="D96" s="7"/>
      <c r="E96" s="7"/>
      <c r="F96" s="7"/>
      <c r="G96" s="7"/>
      <c r="H96" s="10"/>
      <c r="I96" s="10"/>
      <c r="J96" s="10"/>
      <c r="K96" s="7"/>
      <c r="L96" s="7"/>
      <c r="M96" s="7"/>
      <c r="N96" s="7"/>
      <c r="O96" s="7"/>
      <c r="P96" s="7"/>
      <c r="Q96" s="10"/>
      <c r="R96" s="10"/>
      <c r="S96" s="7"/>
      <c r="T96" s="10"/>
      <c r="U96" s="10"/>
      <c r="V96" s="7"/>
      <c r="W96" s="9">
        <f>IF(D96="","",IF(SUMPRODUCT(--EXACT($D$6:$D$105,D96))&gt;1,"TRÙNG MÃ VẬT LÝ",""))</f>
        <v/>
      </c>
      <c r="X96" s="7"/>
    </row>
    <row r="97" spans="1:24" ht="32" customHeight="1">
      <c r="A97" s="7"/>
      <c r="B97" s="7"/>
      <c r="C97" s="7"/>
      <c r="D97" s="7"/>
      <c r="E97" s="7"/>
      <c r="F97" s="7"/>
      <c r="G97" s="7"/>
      <c r="H97" s="10"/>
      <c r="I97" s="10"/>
      <c r="J97" s="10"/>
      <c r="K97" s="7"/>
      <c r="L97" s="7"/>
      <c r="M97" s="7"/>
      <c r="N97" s="7"/>
      <c r="O97" s="7"/>
      <c r="P97" s="7"/>
      <c r="Q97" s="10"/>
      <c r="R97" s="10"/>
      <c r="S97" s="7"/>
      <c r="T97" s="10"/>
      <c r="U97" s="10"/>
      <c r="V97" s="7"/>
      <c r="W97" s="9">
        <f>IF(D97="","",IF(SUMPRODUCT(--EXACT($D$6:$D$105,D97))&gt;1,"TRÙNG MÃ VẬT LÝ",""))</f>
        <v/>
      </c>
      <c r="X97" s="7"/>
    </row>
    <row r="98" spans="1:24" ht="32" customHeight="1">
      <c r="A98" s="7"/>
      <c r="B98" s="7"/>
      <c r="C98" s="7"/>
      <c r="D98" s="7"/>
      <c r="E98" s="7"/>
      <c r="F98" s="7"/>
      <c r="G98" s="7"/>
      <c r="H98" s="10"/>
      <c r="I98" s="10"/>
      <c r="J98" s="10"/>
      <c r="K98" s="7"/>
      <c r="L98" s="7"/>
      <c r="M98" s="7"/>
      <c r="N98" s="7"/>
      <c r="O98" s="7"/>
      <c r="P98" s="7"/>
      <c r="Q98" s="10"/>
      <c r="R98" s="10"/>
      <c r="S98" s="7"/>
      <c r="T98" s="10"/>
      <c r="U98" s="10"/>
      <c r="V98" s="7"/>
      <c r="W98" s="9">
        <f>IF(D98="","",IF(SUMPRODUCT(--EXACT($D$6:$D$105,D98))&gt;1,"TRÙNG MÃ VẬT LÝ",""))</f>
        <v/>
      </c>
      <c r="X98" s="7"/>
    </row>
    <row r="99" spans="1:24" ht="32" customHeight="1">
      <c r="A99" s="7"/>
      <c r="B99" s="7"/>
      <c r="C99" s="7"/>
      <c r="D99" s="7"/>
      <c r="E99" s="7"/>
      <c r="F99" s="7"/>
      <c r="G99" s="7"/>
      <c r="H99" s="10"/>
      <c r="I99" s="10"/>
      <c r="J99" s="10"/>
      <c r="K99" s="7"/>
      <c r="L99" s="7"/>
      <c r="M99" s="7"/>
      <c r="N99" s="7"/>
      <c r="O99" s="7"/>
      <c r="P99" s="7"/>
      <c r="Q99" s="10"/>
      <c r="R99" s="10"/>
      <c r="S99" s="7"/>
      <c r="T99" s="10"/>
      <c r="U99" s="10"/>
      <c r="V99" s="7"/>
      <c r="W99" s="9">
        <f>IF(D99="","",IF(SUMPRODUCT(--EXACT($D$6:$D$105,D99))&gt;1,"TRÙNG MÃ VẬT LÝ",""))</f>
        <v/>
      </c>
      <c r="X99" s="7"/>
    </row>
    <row r="100" spans="1:24" ht="32" customHeight="1">
      <c r="A100" s="7"/>
      <c r="B100" s="7"/>
      <c r="C100" s="7"/>
      <c r="D100" s="7"/>
      <c r="E100" s="7"/>
      <c r="F100" s="7"/>
      <c r="G100" s="7"/>
      <c r="H100" s="10"/>
      <c r="I100" s="10"/>
      <c r="J100" s="10"/>
      <c r="K100" s="7"/>
      <c r="L100" s="7"/>
      <c r="M100" s="7"/>
      <c r="N100" s="7"/>
      <c r="O100" s="7"/>
      <c r="P100" s="7"/>
      <c r="Q100" s="10"/>
      <c r="R100" s="10"/>
      <c r="S100" s="7"/>
      <c r="T100" s="10"/>
      <c r="U100" s="10"/>
      <c r="V100" s="7"/>
      <c r="W100" s="9">
        <f>IF(D100="","",IF(SUMPRODUCT(--EXACT($D$6:$D$105,D100))&gt;1,"TRÙNG MÃ VẬT LÝ",""))</f>
        <v/>
      </c>
      <c r="X100" s="7"/>
    </row>
    <row r="101" spans="1:24" ht="32" customHeight="1">
      <c r="A101" s="7"/>
      <c r="B101" s="7"/>
      <c r="C101" s="7"/>
      <c r="D101" s="7"/>
      <c r="E101" s="7"/>
      <c r="F101" s="7"/>
      <c r="G101" s="7"/>
      <c r="H101" s="10"/>
      <c r="I101" s="10"/>
      <c r="J101" s="10"/>
      <c r="K101" s="7"/>
      <c r="L101" s="7"/>
      <c r="M101" s="7"/>
      <c r="N101" s="7"/>
      <c r="O101" s="7"/>
      <c r="P101" s="7"/>
      <c r="Q101" s="10"/>
      <c r="R101" s="10"/>
      <c r="S101" s="7"/>
      <c r="T101" s="10"/>
      <c r="U101" s="10"/>
      <c r="V101" s="7"/>
      <c r="W101" s="9">
        <f>IF(D101="","",IF(SUMPRODUCT(--EXACT($D$6:$D$105,D101))&gt;1,"TRÙNG MÃ VẬT LÝ",""))</f>
        <v/>
      </c>
      <c r="X101" s="7"/>
    </row>
    <row r="102" spans="1:24" ht="32" customHeight="1">
      <c r="A102" s="7"/>
      <c r="B102" s="7"/>
      <c r="C102" s="7"/>
      <c r="D102" s="7"/>
      <c r="E102" s="7"/>
      <c r="F102" s="7"/>
      <c r="G102" s="7"/>
      <c r="H102" s="10"/>
      <c r="I102" s="10"/>
      <c r="J102" s="10"/>
      <c r="K102" s="7"/>
      <c r="L102" s="7"/>
      <c r="M102" s="7"/>
      <c r="N102" s="7"/>
      <c r="O102" s="7"/>
      <c r="P102" s="7"/>
      <c r="Q102" s="10"/>
      <c r="R102" s="10"/>
      <c r="S102" s="7"/>
      <c r="T102" s="10"/>
      <c r="U102" s="10"/>
      <c r="V102" s="7"/>
      <c r="W102" s="9">
        <f>IF(D102="","",IF(SUMPRODUCT(--EXACT($D$6:$D$105,D102))&gt;1,"TRÙNG MÃ VẬT LÝ",""))</f>
        <v/>
      </c>
      <c r="X102" s="7"/>
    </row>
    <row r="103" spans="1:24" ht="32" customHeight="1">
      <c r="A103" s="7"/>
      <c r="B103" s="7"/>
      <c r="C103" s="7"/>
      <c r="D103" s="7"/>
      <c r="E103" s="7"/>
      <c r="F103" s="7"/>
      <c r="G103" s="7"/>
      <c r="H103" s="10"/>
      <c r="I103" s="10"/>
      <c r="J103" s="10"/>
      <c r="K103" s="7"/>
      <c r="L103" s="7"/>
      <c r="M103" s="7"/>
      <c r="N103" s="7"/>
      <c r="O103" s="7"/>
      <c r="P103" s="7"/>
      <c r="Q103" s="10"/>
      <c r="R103" s="10"/>
      <c r="S103" s="7"/>
      <c r="T103" s="10"/>
      <c r="U103" s="10"/>
      <c r="V103" s="7"/>
      <c r="W103" s="9">
        <f>IF(D103="","",IF(SUMPRODUCT(--EXACT($D$6:$D$105,D103))&gt;1,"TRÙNG MÃ VẬT LÝ",""))</f>
        <v/>
      </c>
      <c r="X103" s="7"/>
    </row>
    <row r="104" spans="1:24" ht="32" customHeight="1">
      <c r="A104" s="7"/>
      <c r="B104" s="7"/>
      <c r="C104" s="7"/>
      <c r="D104" s="7"/>
      <c r="E104" s="7"/>
      <c r="F104" s="7"/>
      <c r="G104" s="7"/>
      <c r="H104" s="10"/>
      <c r="I104" s="10"/>
      <c r="J104" s="10"/>
      <c r="K104" s="7"/>
      <c r="L104" s="7"/>
      <c r="M104" s="7"/>
      <c r="N104" s="7"/>
      <c r="O104" s="7"/>
      <c r="P104" s="7"/>
      <c r="Q104" s="10"/>
      <c r="R104" s="10"/>
      <c r="S104" s="7"/>
      <c r="T104" s="10"/>
      <c r="U104" s="10"/>
      <c r="V104" s="7"/>
      <c r="W104" s="9">
        <f>IF(D104="","",IF(SUMPRODUCT(--EXACT($D$6:$D$105,D104))&gt;1,"TRÙNG MÃ VẬT LÝ",""))</f>
        <v/>
      </c>
      <c r="X104" s="7"/>
    </row>
    <row r="105" spans="1:24" ht="32" customHeight="1">
      <c r="A105" s="7"/>
      <c r="B105" s="7"/>
      <c r="C105" s="7"/>
      <c r="D105" s="7"/>
      <c r="E105" s="7"/>
      <c r="F105" s="7"/>
      <c r="G105" s="7"/>
      <c r="H105" s="10"/>
      <c r="I105" s="10"/>
      <c r="J105" s="10"/>
      <c r="K105" s="7"/>
      <c r="L105" s="7"/>
      <c r="M105" s="7"/>
      <c r="N105" s="7"/>
      <c r="O105" s="7"/>
      <c r="P105" s="7"/>
      <c r="Q105" s="10"/>
      <c r="R105" s="10"/>
      <c r="S105" s="7"/>
      <c r="T105" s="10"/>
      <c r="U105" s="10"/>
      <c r="V105" s="7"/>
      <c r="W105" s="9">
        <f>IF(D105="","",IF(SUMPRODUCT(--EXACT($D$6:$D$105,D105))&gt;1,"TRÙNG MÃ VẬT LÝ",""))</f>
        <v/>
      </c>
      <c r="X105" s="7"/>
    </row>
  </sheetData>
  <autoFilter ref="A5:X105"/>
  <mergeCells count="2">
    <mergeCell ref="A1:X1"/>
    <mergeCell ref="A2:X3"/>
  </mergeCells>
  <conditionalFormatting sqref="O6:O105">
    <cfRule type="containsText" dxfId="0" priority="1" operator="containsText" text="Lệch">
      <formula>NOT(ISERROR(SEARCH("Lệch",O6)))</formula>
    </cfRule>
    <cfRule type="containsText" dxfId="1" priority="2" operator="containsText" text="Thiếu">
      <formula>NOT(ISERROR(SEARCH("Thiếu",O6)))</formula>
    </cfRule>
    <cfRule type="containsText" dxfId="0" priority="3" operator="containsText" text="Cần sửa">
      <formula>NOT(ISERROR(SEARCH("Cần sửa",O6)))</formula>
    </cfRule>
    <cfRule type="containsText" dxfId="1" priority="4" operator="containsText" text="Chưa kiểm">
      <formula>NOT(ISERROR(SEARCH("Chưa kiểm",O6)))</formula>
    </cfRule>
    <cfRule type="containsText" dxfId="2" priority="5" operator="containsText" text="Khớp">
      <formula>NOT(ISERROR(SEARCH("Khớp",O6)))</formula>
    </cfRule>
    <cfRule type="containsText" dxfId="2" priority="6" operator="containsText" text="Đã kiểm tra">
      <formula>NOT(ISERROR(SEARCH("Đã kiểm tra",O6)))</formula>
    </cfRule>
  </conditionalFormatting>
  <conditionalFormatting sqref="W6:W105">
    <cfRule type="containsText" dxfId="0" priority="7" operator="containsText" text="TRÙNG MÃ">
      <formula>NOT(ISERROR(SEARCH("TRÙNG MÃ",W6)))</formula>
    </cfRule>
  </conditionalFormatting>
  <dataValidations count="3">
    <dataValidation type="list" allowBlank="1" showInputMessage="1" showErrorMessage="1" errorTitle="Chọn trong danh sách" error="Dùng một giá trị trong danh sách." promptTitle="Chọn trạng thái" prompt="Chọn theo kết quả kiểm tra thực tế." sqref="M6:M105">
      <formula1>"FBW,FBS,DBS,Khác"</formula1>
    </dataValidation>
    <dataValidation type="list" allowBlank="1" showInputMessage="1" showErrorMessage="1" errorTitle="Chọn trong danh sách" error="Dùng một giá trị trong danh sách." promptTitle="Chọn trạng thái" prompt="Chọn theo kết quả kiểm tra thực tế." sqref="O6:O105">
      <formula1>"Chưa kiểm,Đã nhận / ký,Cần sửa,Không áp dụng"</formula1>
    </dataValidation>
    <dataValidation type="list" allowBlank="1" showInputMessage="1" showErrorMessage="1" errorTitle="Chọn trong danh sách" error="Dùng một giá trị trong danh sách." promptTitle="Chọn trạng thái" prompt="Chọn theo kết quả kiểm tra thực tế." sqref="P6:P105">
      <formula1>"Chưa kiểm,На проверке,Проверено,Ошибка,Не проверено"</formula1>
    </dataValidation>
  </dataValidations>
  <pageMargins left="0.3" right="0.3" top="0.4" bottom="0.4" header="0.3" footer="0.3"/>
  <pageSetup paperSize="9" fitToHeight="0" orientation="landscape"/>
  <headerFooter>
    <oddFooter>&amp;LWB • GTIN • TN VED | Mẫu nội bộ&amp;C06/10/2026&amp;RTrang &amp;P / &amp;N</oddFooter>
  </headerFooter>
  <legacyDrawing r:id="rId1"/>
</worksheet>
</file>

<file path=xl/worksheets/sheet6.xml><?xml version="1.0" encoding="utf-8"?>
<worksheet xmlns="http://schemas.openxmlformats.org/spreadsheetml/2006/main" xmlns:r="http://schemas.openxmlformats.org/officeDocument/2006/relationships">
  <sheetPr>
    <tabColor rgb="FF087E8B"/>
    <pageSetUpPr fitToPage="1"/>
  </sheetPr>
  <dimension ref="A1:J40"/>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8.7109375" customWidth="1"/>
    <col min="2" max="2" width="23.7109375" customWidth="1"/>
    <col min="3" max="3" width="84.7109375" customWidth="1"/>
    <col min="4" max="4" width="18.7109375" customWidth="1"/>
    <col min="5" max="5" width="23.7109375" customWidth="1"/>
    <col min="6" max="6" width="27.7109375" customWidth="1"/>
    <col min="7" max="7" width="24.7109375" customWidth="1"/>
    <col min="8" max="8" width="18.7109375" customWidth="1"/>
    <col min="9" max="9" width="48.7109375" customWidth="1"/>
    <col min="10" max="10" width="55.7109375" customWidth="1"/>
  </cols>
  <sheetData>
    <row r="1" spans="1:10" ht="34" customHeight="1">
      <c r="A1" s="1" t="s">
        <v>179</v>
      </c>
      <c r="B1" s="1"/>
      <c r="C1" s="1"/>
      <c r="D1" s="1"/>
      <c r="E1" s="1"/>
      <c r="F1" s="1"/>
      <c r="G1" s="1"/>
      <c r="H1" s="1"/>
      <c r="I1" s="1"/>
      <c r="J1" s="1"/>
    </row>
    <row r="2" spans="1:10" ht="25" customHeight="1">
      <c r="A2" s="2" t="s">
        <v>180</v>
      </c>
      <c r="B2" s="2"/>
      <c r="C2" s="2"/>
      <c r="D2" s="2"/>
      <c r="E2" s="2"/>
      <c r="F2" s="2"/>
      <c r="G2" s="2"/>
      <c r="H2" s="2"/>
      <c r="I2" s="2"/>
      <c r="J2" s="2"/>
    </row>
    <row r="3" spans="1:10" ht="25" customHeight="1">
      <c r="A3" s="2"/>
      <c r="B3" s="2"/>
      <c r="C3" s="2"/>
      <c r="D3" s="2"/>
      <c r="E3" s="2"/>
      <c r="F3" s="2"/>
      <c r="G3" s="2"/>
      <c r="H3" s="2"/>
      <c r="I3" s="2"/>
      <c r="J3" s="2"/>
    </row>
    <row r="5" spans="1:10" ht="62" customHeight="1">
      <c r="A5" s="6" t="s">
        <v>181</v>
      </c>
      <c r="B5" s="6" t="s">
        <v>182</v>
      </c>
      <c r="C5" s="6" t="s">
        <v>183</v>
      </c>
      <c r="D5" s="6" t="s">
        <v>184</v>
      </c>
      <c r="E5" s="6" t="s">
        <v>185</v>
      </c>
      <c r="F5" s="6" t="s">
        <v>186</v>
      </c>
      <c r="G5" s="6" t="s">
        <v>187</v>
      </c>
      <c r="H5" s="6" t="s">
        <v>123</v>
      </c>
      <c r="I5" s="6" t="s">
        <v>188</v>
      </c>
      <c r="J5" s="6" t="s">
        <v>189</v>
      </c>
    </row>
    <row r="6" spans="1:10" ht="43" customHeight="1">
      <c r="A6" s="8">
        <v>1</v>
      </c>
      <c r="B6" s="7" t="s">
        <v>190</v>
      </c>
      <c r="C6" s="7" t="s">
        <v>191</v>
      </c>
      <c r="D6" s="7" t="s">
        <v>192</v>
      </c>
      <c r="E6" s="7" t="s">
        <v>193</v>
      </c>
      <c r="F6" s="7"/>
      <c r="G6" s="7"/>
      <c r="H6" s="10"/>
      <c r="I6" s="7"/>
      <c r="J6" s="7"/>
    </row>
    <row r="7" spans="1:10" ht="43" customHeight="1">
      <c r="A7" s="8">
        <v>2</v>
      </c>
      <c r="B7" s="7" t="s">
        <v>190</v>
      </c>
      <c r="C7" s="7" t="s">
        <v>194</v>
      </c>
      <c r="D7" s="7" t="s">
        <v>195</v>
      </c>
      <c r="E7" s="7" t="s">
        <v>193</v>
      </c>
      <c r="F7" s="7"/>
      <c r="G7" s="7"/>
      <c r="H7" s="10"/>
      <c r="I7" s="7"/>
      <c r="J7" s="7"/>
    </row>
    <row r="8" spans="1:10" ht="43" customHeight="1">
      <c r="A8" s="8">
        <v>3</v>
      </c>
      <c r="B8" s="7" t="s">
        <v>190</v>
      </c>
      <c r="C8" s="7" t="s">
        <v>196</v>
      </c>
      <c r="D8" s="7" t="s">
        <v>195</v>
      </c>
      <c r="E8" s="7" t="s">
        <v>193</v>
      </c>
      <c r="F8" s="7"/>
      <c r="G8" s="7"/>
      <c r="H8" s="10"/>
      <c r="I8" s="7"/>
      <c r="J8" s="7"/>
    </row>
    <row r="9" spans="1:10" ht="43" customHeight="1">
      <c r="A9" s="8">
        <v>4</v>
      </c>
      <c r="B9" s="7" t="s">
        <v>190</v>
      </c>
      <c r="C9" s="7" t="s">
        <v>197</v>
      </c>
      <c r="D9" s="7" t="s">
        <v>192</v>
      </c>
      <c r="E9" s="7" t="s">
        <v>193</v>
      </c>
      <c r="F9" s="7"/>
      <c r="G9" s="7"/>
      <c r="H9" s="10"/>
      <c r="I9" s="7"/>
      <c r="J9" s="7"/>
    </row>
    <row r="10" spans="1:10" ht="43" customHeight="1">
      <c r="A10" s="8">
        <v>5</v>
      </c>
      <c r="B10" s="7" t="s">
        <v>190</v>
      </c>
      <c r="C10" s="7" t="s">
        <v>198</v>
      </c>
      <c r="D10" s="7" t="s">
        <v>192</v>
      </c>
      <c r="E10" s="7" t="s">
        <v>193</v>
      </c>
      <c r="F10" s="7"/>
      <c r="G10" s="7"/>
      <c r="H10" s="10"/>
      <c r="I10" s="7"/>
      <c r="J10" s="7"/>
    </row>
    <row r="11" spans="1:10" ht="43" customHeight="1">
      <c r="A11" s="8">
        <v>6</v>
      </c>
      <c r="B11" s="7" t="s">
        <v>190</v>
      </c>
      <c r="C11" s="7" t="s">
        <v>199</v>
      </c>
      <c r="D11" s="7" t="s">
        <v>192</v>
      </c>
      <c r="E11" s="7" t="s">
        <v>193</v>
      </c>
      <c r="F11" s="7"/>
      <c r="G11" s="7"/>
      <c r="H11" s="10"/>
      <c r="I11" s="7"/>
      <c r="J11" s="7"/>
    </row>
    <row r="12" spans="1:10" ht="43" customHeight="1">
      <c r="A12" s="8">
        <v>7</v>
      </c>
      <c r="B12" s="7" t="s">
        <v>190</v>
      </c>
      <c r="C12" s="7" t="s">
        <v>200</v>
      </c>
      <c r="D12" s="7" t="s">
        <v>195</v>
      </c>
      <c r="E12" s="7" t="s">
        <v>193</v>
      </c>
      <c r="F12" s="7"/>
      <c r="G12" s="7"/>
      <c r="H12" s="10"/>
      <c r="I12" s="7"/>
      <c r="J12" s="7"/>
    </row>
    <row r="13" spans="1:10" ht="43" customHeight="1">
      <c r="A13" s="8">
        <v>8</v>
      </c>
      <c r="B13" s="7" t="s">
        <v>190</v>
      </c>
      <c r="C13" s="7" t="s">
        <v>201</v>
      </c>
      <c r="D13" s="7" t="s">
        <v>192</v>
      </c>
      <c r="E13" s="7" t="s">
        <v>193</v>
      </c>
      <c r="F13" s="7"/>
      <c r="G13" s="7"/>
      <c r="H13" s="10"/>
      <c r="I13" s="7"/>
      <c r="J13" s="7"/>
    </row>
    <row r="14" spans="1:10" ht="43" customHeight="1">
      <c r="A14" s="8">
        <v>9</v>
      </c>
      <c r="B14" s="7" t="s">
        <v>202</v>
      </c>
      <c r="C14" s="7" t="s">
        <v>203</v>
      </c>
      <c r="D14" s="7" t="s">
        <v>192</v>
      </c>
      <c r="E14" s="7" t="s">
        <v>193</v>
      </c>
      <c r="F14" s="7"/>
      <c r="G14" s="7"/>
      <c r="H14" s="10"/>
      <c r="I14" s="7"/>
      <c r="J14" s="7"/>
    </row>
    <row r="15" spans="1:10" ht="43" customHeight="1">
      <c r="A15" s="8">
        <v>10</v>
      </c>
      <c r="B15" s="7" t="s">
        <v>190</v>
      </c>
      <c r="C15" s="7" t="s">
        <v>204</v>
      </c>
      <c r="D15" s="7" t="s">
        <v>192</v>
      </c>
      <c r="E15" s="7" t="s">
        <v>193</v>
      </c>
      <c r="F15" s="7"/>
      <c r="G15" s="7"/>
      <c r="H15" s="10"/>
      <c r="I15" s="7"/>
      <c r="J15" s="7"/>
    </row>
    <row r="16" spans="1:10" ht="43" customHeight="1">
      <c r="A16" s="8">
        <v>11</v>
      </c>
      <c r="B16" s="7" t="s">
        <v>205</v>
      </c>
      <c r="C16" s="7" t="s">
        <v>206</v>
      </c>
      <c r="D16" s="7" t="s">
        <v>195</v>
      </c>
      <c r="E16" s="7" t="s">
        <v>193</v>
      </c>
      <c r="F16" s="7"/>
      <c r="G16" s="7"/>
      <c r="H16" s="10"/>
      <c r="I16" s="7"/>
      <c r="J16" s="7"/>
    </row>
    <row r="17" spans="1:10" ht="43" customHeight="1">
      <c r="A17" s="8">
        <v>12</v>
      </c>
      <c r="B17" s="7" t="s">
        <v>205</v>
      </c>
      <c r="C17" s="7" t="s">
        <v>207</v>
      </c>
      <c r="D17" s="7" t="s">
        <v>195</v>
      </c>
      <c r="E17" s="7" t="s">
        <v>193</v>
      </c>
      <c r="F17" s="7"/>
      <c r="G17" s="7"/>
      <c r="H17" s="10"/>
      <c r="I17" s="7"/>
      <c r="J17" s="7"/>
    </row>
    <row r="18" spans="1:10" ht="43" customHeight="1">
      <c r="A18" s="8">
        <v>13</v>
      </c>
      <c r="B18" s="7" t="s">
        <v>205</v>
      </c>
      <c r="C18" s="7" t="s">
        <v>208</v>
      </c>
      <c r="D18" s="7" t="s">
        <v>195</v>
      </c>
      <c r="E18" s="7" t="s">
        <v>193</v>
      </c>
      <c r="F18" s="7"/>
      <c r="G18" s="7"/>
      <c r="H18" s="10"/>
      <c r="I18" s="7"/>
      <c r="J18" s="7"/>
    </row>
    <row r="19" spans="1:10" ht="43" customHeight="1">
      <c r="A19" s="8">
        <v>14</v>
      </c>
      <c r="B19" s="7" t="s">
        <v>205</v>
      </c>
      <c r="C19" s="7" t="s">
        <v>209</v>
      </c>
      <c r="D19" s="7" t="s">
        <v>192</v>
      </c>
      <c r="E19" s="7" t="s">
        <v>193</v>
      </c>
      <c r="F19" s="7"/>
      <c r="G19" s="7"/>
      <c r="H19" s="10"/>
      <c r="I19" s="7"/>
      <c r="J19" s="7"/>
    </row>
    <row r="20" spans="1:10" ht="43" customHeight="1">
      <c r="A20" s="8">
        <v>15</v>
      </c>
      <c r="B20" s="7" t="s">
        <v>210</v>
      </c>
      <c r="C20" s="7" t="s">
        <v>211</v>
      </c>
      <c r="D20" s="7" t="s">
        <v>195</v>
      </c>
      <c r="E20" s="7" t="s">
        <v>193</v>
      </c>
      <c r="F20" s="7"/>
      <c r="G20" s="7"/>
      <c r="H20" s="10"/>
      <c r="I20" s="7"/>
      <c r="J20" s="7"/>
    </row>
    <row r="21" spans="1:10" ht="43" customHeight="1">
      <c r="A21" s="8">
        <v>16</v>
      </c>
      <c r="B21" s="7" t="s">
        <v>210</v>
      </c>
      <c r="C21" s="7" t="s">
        <v>212</v>
      </c>
      <c r="D21" s="7" t="s">
        <v>192</v>
      </c>
      <c r="E21" s="7" t="s">
        <v>193</v>
      </c>
      <c r="F21" s="7"/>
      <c r="G21" s="7"/>
      <c r="H21" s="10"/>
      <c r="I21" s="7"/>
      <c r="J21" s="7"/>
    </row>
    <row r="22" spans="1:10" ht="43" customHeight="1">
      <c r="A22" s="8">
        <v>17</v>
      </c>
      <c r="B22" s="7" t="s">
        <v>210</v>
      </c>
      <c r="C22" s="7" t="s">
        <v>213</v>
      </c>
      <c r="D22" s="7" t="s">
        <v>195</v>
      </c>
      <c r="E22" s="7" t="s">
        <v>193</v>
      </c>
      <c r="F22" s="7"/>
      <c r="G22" s="7"/>
      <c r="H22" s="10"/>
      <c r="I22" s="7"/>
      <c r="J22" s="7"/>
    </row>
    <row r="23" spans="1:10" ht="43" customHeight="1">
      <c r="A23" s="8">
        <v>18</v>
      </c>
      <c r="B23" s="7" t="s">
        <v>210</v>
      </c>
      <c r="C23" s="7" t="s">
        <v>214</v>
      </c>
      <c r="D23" s="7" t="s">
        <v>195</v>
      </c>
      <c r="E23" s="7" t="s">
        <v>193</v>
      </c>
      <c r="F23" s="7"/>
      <c r="G23" s="7"/>
      <c r="H23" s="10"/>
      <c r="I23" s="7"/>
      <c r="J23" s="7"/>
    </row>
    <row r="24" spans="1:10" ht="43" customHeight="1">
      <c r="A24" s="8">
        <v>19</v>
      </c>
      <c r="B24" s="7" t="s">
        <v>215</v>
      </c>
      <c r="C24" s="7" t="s">
        <v>216</v>
      </c>
      <c r="D24" s="7" t="s">
        <v>192</v>
      </c>
      <c r="E24" s="7" t="s">
        <v>193</v>
      </c>
      <c r="F24" s="7"/>
      <c r="G24" s="7"/>
      <c r="H24" s="10"/>
      <c r="I24" s="7"/>
      <c r="J24" s="7"/>
    </row>
    <row r="25" spans="1:10" ht="43" customHeight="1">
      <c r="A25" s="8">
        <v>20</v>
      </c>
      <c r="B25" s="7" t="s">
        <v>215</v>
      </c>
      <c r="C25" s="7" t="s">
        <v>217</v>
      </c>
      <c r="D25" s="7" t="s">
        <v>195</v>
      </c>
      <c r="E25" s="7" t="s">
        <v>193</v>
      </c>
      <c r="F25" s="7"/>
      <c r="G25" s="7"/>
      <c r="H25" s="10"/>
      <c r="I25" s="7"/>
      <c r="J25" s="7"/>
    </row>
    <row r="26" spans="1:10" ht="43" customHeight="1">
      <c r="A26" s="8">
        <v>21</v>
      </c>
      <c r="B26" s="7" t="s">
        <v>215</v>
      </c>
      <c r="C26" s="7" t="s">
        <v>218</v>
      </c>
      <c r="D26" s="7" t="s">
        <v>195</v>
      </c>
      <c r="E26" s="7" t="s">
        <v>193</v>
      </c>
      <c r="F26" s="7"/>
      <c r="G26" s="7"/>
      <c r="H26" s="10"/>
      <c r="I26" s="7"/>
      <c r="J26" s="7"/>
    </row>
    <row r="27" spans="1:10" ht="43" customHeight="1">
      <c r="A27" s="8">
        <v>22</v>
      </c>
      <c r="B27" s="7" t="s">
        <v>215</v>
      </c>
      <c r="C27" s="7" t="s">
        <v>219</v>
      </c>
      <c r="D27" s="7" t="s">
        <v>195</v>
      </c>
      <c r="E27" s="7" t="s">
        <v>193</v>
      </c>
      <c r="F27" s="7"/>
      <c r="G27" s="7"/>
      <c r="H27" s="10"/>
      <c r="I27" s="7"/>
      <c r="J27" s="7"/>
    </row>
    <row r="28" spans="1:10" ht="43" customHeight="1">
      <c r="A28" s="8">
        <v>23</v>
      </c>
      <c r="B28" s="7" t="s">
        <v>202</v>
      </c>
      <c r="C28" s="7" t="s">
        <v>220</v>
      </c>
      <c r="D28" s="7" t="s">
        <v>195</v>
      </c>
      <c r="E28" s="7" t="s">
        <v>193</v>
      </c>
      <c r="F28" s="7"/>
      <c r="G28" s="7"/>
      <c r="H28" s="10"/>
      <c r="I28" s="7"/>
      <c r="J28" s="7"/>
    </row>
    <row r="29" spans="1:10" ht="43" customHeight="1">
      <c r="A29" s="8">
        <v>24</v>
      </c>
      <c r="B29" s="7" t="s">
        <v>202</v>
      </c>
      <c r="C29" s="7" t="s">
        <v>221</v>
      </c>
      <c r="D29" s="7" t="s">
        <v>192</v>
      </c>
      <c r="E29" s="7" t="s">
        <v>193</v>
      </c>
      <c r="F29" s="7"/>
      <c r="G29" s="7"/>
      <c r="H29" s="10"/>
      <c r="I29" s="7"/>
      <c r="J29" s="7"/>
    </row>
    <row r="30" spans="1:10" ht="43" customHeight="1">
      <c r="A30" s="8">
        <v>25</v>
      </c>
      <c r="B30" s="7" t="s">
        <v>202</v>
      </c>
      <c r="C30" s="7" t="s">
        <v>222</v>
      </c>
      <c r="D30" s="7" t="s">
        <v>195</v>
      </c>
      <c r="E30" s="7" t="s">
        <v>193</v>
      </c>
      <c r="F30" s="7"/>
      <c r="G30" s="7"/>
      <c r="H30" s="10"/>
      <c r="I30" s="7"/>
      <c r="J30" s="7"/>
    </row>
    <row r="31" spans="1:10" ht="43" customHeight="1">
      <c r="A31" s="8">
        <v>26</v>
      </c>
      <c r="B31" s="7" t="s">
        <v>202</v>
      </c>
      <c r="C31" s="7" t="s">
        <v>223</v>
      </c>
      <c r="D31" s="7" t="s">
        <v>192</v>
      </c>
      <c r="E31" s="7" t="s">
        <v>193</v>
      </c>
      <c r="F31" s="7"/>
      <c r="G31" s="7"/>
      <c r="H31" s="10"/>
      <c r="I31" s="7"/>
      <c r="J31" s="7"/>
    </row>
    <row r="32" spans="1:10" ht="43" customHeight="1">
      <c r="A32" s="8">
        <v>27</v>
      </c>
      <c r="B32" s="7" t="s">
        <v>202</v>
      </c>
      <c r="C32" s="7" t="s">
        <v>224</v>
      </c>
      <c r="D32" s="7" t="s">
        <v>195</v>
      </c>
      <c r="E32" s="7" t="s">
        <v>193</v>
      </c>
      <c r="F32" s="7"/>
      <c r="G32" s="7"/>
      <c r="H32" s="10"/>
      <c r="I32" s="7"/>
      <c r="J32" s="7"/>
    </row>
    <row r="33" spans="1:10" ht="43" customHeight="1">
      <c r="A33" s="8">
        <v>28</v>
      </c>
      <c r="B33" s="7" t="s">
        <v>202</v>
      </c>
      <c r="C33" s="7" t="s">
        <v>225</v>
      </c>
      <c r="D33" s="7" t="s">
        <v>195</v>
      </c>
      <c r="E33" s="7" t="s">
        <v>193</v>
      </c>
      <c r="F33" s="7"/>
      <c r="G33" s="7"/>
      <c r="H33" s="10"/>
      <c r="I33" s="7"/>
      <c r="J33" s="7"/>
    </row>
    <row r="34" spans="1:10" ht="43" customHeight="1">
      <c r="A34" s="8">
        <v>29</v>
      </c>
      <c r="B34" s="7" t="s">
        <v>226</v>
      </c>
      <c r="C34" s="7" t="s">
        <v>227</v>
      </c>
      <c r="D34" s="7" t="s">
        <v>228</v>
      </c>
      <c r="E34" s="7" t="s">
        <v>193</v>
      </c>
      <c r="F34" s="7"/>
      <c r="G34" s="7"/>
      <c r="H34" s="10"/>
      <c r="I34" s="7"/>
      <c r="J34" s="7"/>
    </row>
    <row r="35" spans="1:10" ht="43" customHeight="1">
      <c r="A35" s="8">
        <v>30</v>
      </c>
      <c r="B35" s="7" t="s">
        <v>226</v>
      </c>
      <c r="C35" s="7" t="s">
        <v>229</v>
      </c>
      <c r="D35" s="7" t="s">
        <v>195</v>
      </c>
      <c r="E35" s="7" t="s">
        <v>193</v>
      </c>
      <c r="F35" s="7"/>
      <c r="G35" s="7"/>
      <c r="H35" s="10"/>
      <c r="I35" s="7"/>
      <c r="J35" s="7"/>
    </row>
    <row r="36" spans="1:10" ht="43" customHeight="1">
      <c r="A36" s="8">
        <v>31</v>
      </c>
      <c r="B36" s="7" t="s">
        <v>230</v>
      </c>
      <c r="C36" s="7" t="s">
        <v>231</v>
      </c>
      <c r="D36" s="7" t="s">
        <v>195</v>
      </c>
      <c r="E36" s="7" t="s">
        <v>193</v>
      </c>
      <c r="F36" s="7"/>
      <c r="G36" s="7"/>
      <c r="H36" s="10"/>
      <c r="I36" s="7"/>
      <c r="J36" s="7"/>
    </row>
    <row r="37" spans="1:10" ht="43" customHeight="1">
      <c r="A37" s="8">
        <v>32</v>
      </c>
      <c r="B37" s="7" t="s">
        <v>232</v>
      </c>
      <c r="C37" s="7" t="s">
        <v>233</v>
      </c>
      <c r="D37" s="7" t="s">
        <v>195</v>
      </c>
      <c r="E37" s="7" t="s">
        <v>193</v>
      </c>
      <c r="F37" s="7"/>
      <c r="G37" s="7"/>
      <c r="H37" s="10"/>
      <c r="I37" s="7"/>
      <c r="J37" s="7"/>
    </row>
    <row r="38" spans="1:10" ht="43" customHeight="1">
      <c r="A38" s="8">
        <v>33</v>
      </c>
      <c r="B38" s="7" t="s">
        <v>234</v>
      </c>
      <c r="C38" s="7" t="s">
        <v>235</v>
      </c>
      <c r="D38" s="7" t="s">
        <v>195</v>
      </c>
      <c r="E38" s="7" t="s">
        <v>193</v>
      </c>
      <c r="F38" s="7"/>
      <c r="G38" s="7"/>
      <c r="H38" s="10"/>
      <c r="I38" s="7"/>
      <c r="J38" s="7"/>
    </row>
    <row r="39" spans="1:10" ht="43" customHeight="1">
      <c r="A39" s="8">
        <v>34</v>
      </c>
      <c r="B39" s="7" t="s">
        <v>236</v>
      </c>
      <c r="C39" s="7" t="s">
        <v>237</v>
      </c>
      <c r="D39" s="7" t="s">
        <v>195</v>
      </c>
      <c r="E39" s="7" t="s">
        <v>193</v>
      </c>
      <c r="F39" s="7"/>
      <c r="G39" s="7"/>
      <c r="H39" s="10"/>
      <c r="I39" s="7"/>
      <c r="J39" s="7"/>
    </row>
    <row r="40" spans="1:10" ht="43" customHeight="1">
      <c r="A40" s="8">
        <v>35</v>
      </c>
      <c r="B40" s="7" t="s">
        <v>238</v>
      </c>
      <c r="C40" s="7" t="s">
        <v>239</v>
      </c>
      <c r="D40" s="7" t="s">
        <v>192</v>
      </c>
      <c r="E40" s="7" t="s">
        <v>193</v>
      </c>
      <c r="F40" s="7"/>
      <c r="G40" s="7"/>
      <c r="H40" s="10"/>
      <c r="I40" s="7"/>
      <c r="J40" s="7"/>
    </row>
  </sheetData>
  <autoFilter ref="A5:J40"/>
  <mergeCells count="2">
    <mergeCell ref="A1:J1"/>
    <mergeCell ref="A2:J3"/>
  </mergeCells>
  <conditionalFormatting sqref="E6:E40">
    <cfRule type="containsText" dxfId="0" priority="1" operator="containsText" text="Lệch">
      <formula>NOT(ISERROR(SEARCH("Lệch",E6)))</formula>
    </cfRule>
    <cfRule type="containsText" dxfId="1" priority="2" operator="containsText" text="Thiếu">
      <formula>NOT(ISERROR(SEARCH("Thiếu",E6)))</formula>
    </cfRule>
    <cfRule type="containsText" dxfId="0" priority="3" operator="containsText" text="Cần sửa">
      <formula>NOT(ISERROR(SEARCH("Cần sửa",E6)))</formula>
    </cfRule>
    <cfRule type="containsText" dxfId="1" priority="4" operator="containsText" text="Chưa kiểm">
      <formula>NOT(ISERROR(SEARCH("Chưa kiểm",E6)))</formula>
    </cfRule>
    <cfRule type="containsText" dxfId="2" priority="5" operator="containsText" text="Khớp">
      <formula>NOT(ISERROR(SEARCH("Khớp",E6)))</formula>
    </cfRule>
    <cfRule type="containsText" dxfId="2" priority="6" operator="containsText" text="Đã kiểm tra">
      <formula>NOT(ISERROR(SEARCH("Đã kiểm tra",E6)))</formula>
    </cfRule>
  </conditionalFormatting>
  <dataValidations count="1">
    <dataValidation type="list" allowBlank="1" showInputMessage="1" showErrorMessage="1" errorTitle="Chọn trong danh sách" error="Dùng một giá trị trong danh sách." promptTitle="Chọn trạng thái" prompt="Chọn theo kết quả kiểm tra thực tế." sqref="E6:E40">
      <formula1>"Chưa làm,Đang làm,Cần sửa,Đã kiểm tra,Không áp dụng"</formula1>
    </dataValidation>
  </dataValidations>
  <pageMargins left="0.3" right="0.3" top="0.4" bottom="0.4" header="0.3" footer="0.3"/>
  <pageSetup paperSize="9" fitToHeight="0" orientation="landscape"/>
  <headerFooter>
    <oddFooter>&amp;LWB • GTIN • TN VED | Mẫu nội bộ&amp;C06/10/2026&amp;RTrang &amp;P / &amp;N</oddFooter>
  </headerFooter>
</worksheet>
</file>

<file path=xl/worksheets/sheet7.xml><?xml version="1.0" encoding="utf-8"?>
<worksheet xmlns="http://schemas.openxmlformats.org/spreadsheetml/2006/main" xmlns:r="http://schemas.openxmlformats.org/officeDocument/2006/relationships">
  <sheetPr>
    <tabColor rgb="FF087E8B"/>
    <pageSetUpPr fitToPage="1"/>
  </sheetPr>
  <dimension ref="A1:E2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14.7109375" customWidth="1"/>
    <col min="2" max="2" width="48.7109375" customWidth="1"/>
    <col min="3" max="3" width="28.7109375" customWidth="1"/>
    <col min="4" max="4" width="90.7109375" customWidth="1"/>
    <col min="5" max="5" width="72.7109375" customWidth="1"/>
  </cols>
  <sheetData>
    <row r="1" spans="1:5" ht="34" customHeight="1">
      <c r="A1" s="1" t="s">
        <v>240</v>
      </c>
      <c r="B1" s="1"/>
      <c r="C1" s="1"/>
      <c r="D1" s="1"/>
      <c r="E1" s="1"/>
    </row>
    <row r="2" spans="1:5" ht="25" customHeight="1">
      <c r="A2" s="2" t="s">
        <v>241</v>
      </c>
      <c r="B2" s="2"/>
      <c r="C2" s="2"/>
      <c r="D2" s="2"/>
      <c r="E2" s="2"/>
    </row>
    <row r="3" spans="1:5" ht="25" customHeight="1">
      <c r="A3" s="2"/>
      <c r="B3" s="2"/>
      <c r="C3" s="2"/>
      <c r="D3" s="2"/>
      <c r="E3" s="2"/>
    </row>
    <row r="5" spans="1:5" ht="62" customHeight="1">
      <c r="A5" s="6" t="s">
        <v>242</v>
      </c>
      <c r="B5" s="6" t="s">
        <v>243</v>
      </c>
      <c r="C5" s="6" t="s">
        <v>244</v>
      </c>
      <c r="D5" s="6" t="s">
        <v>245</v>
      </c>
      <c r="E5" s="6" t="s">
        <v>246</v>
      </c>
    </row>
    <row r="6" spans="1:5" ht="47" customHeight="1">
      <c r="A6" s="7" t="s">
        <v>247</v>
      </c>
      <c r="B6" s="7" t="s">
        <v>248</v>
      </c>
      <c r="C6" s="7" t="s">
        <v>249</v>
      </c>
      <c r="D6" s="11" t="s">
        <v>250</v>
      </c>
      <c r="E6" s="7" t="s">
        <v>251</v>
      </c>
    </row>
    <row r="7" spans="1:5" ht="47" customHeight="1">
      <c r="A7" s="7" t="s">
        <v>252</v>
      </c>
      <c r="B7" s="7" t="s">
        <v>253</v>
      </c>
      <c r="C7" s="7" t="s">
        <v>254</v>
      </c>
      <c r="D7" s="11" t="s">
        <v>255</v>
      </c>
      <c r="E7" s="7" t="s">
        <v>256</v>
      </c>
    </row>
    <row r="8" spans="1:5" ht="47" customHeight="1">
      <c r="A8" s="7" t="s">
        <v>257</v>
      </c>
      <c r="B8" s="7" t="s">
        <v>258</v>
      </c>
      <c r="C8" s="7" t="s">
        <v>259</v>
      </c>
      <c r="D8" s="11" t="s">
        <v>260</v>
      </c>
      <c r="E8" s="7" t="s">
        <v>261</v>
      </c>
    </row>
    <row r="9" spans="1:5" ht="47" customHeight="1">
      <c r="A9" s="7" t="s">
        <v>262</v>
      </c>
      <c r="B9" s="7" t="s">
        <v>263</v>
      </c>
      <c r="C9" s="7" t="s">
        <v>264</v>
      </c>
      <c r="D9" s="11" t="s">
        <v>265</v>
      </c>
      <c r="E9" s="7" t="s">
        <v>266</v>
      </c>
    </row>
    <row r="10" spans="1:5" ht="47" customHeight="1">
      <c r="A10" s="7" t="s">
        <v>267</v>
      </c>
      <c r="B10" s="7" t="s">
        <v>268</v>
      </c>
      <c r="C10" s="7" t="s">
        <v>269</v>
      </c>
      <c r="D10" s="11" t="s">
        <v>270</v>
      </c>
      <c r="E10" s="7" t="s">
        <v>271</v>
      </c>
    </row>
    <row r="11" spans="1:5" ht="47" customHeight="1">
      <c r="A11" s="7" t="s">
        <v>272</v>
      </c>
      <c r="B11" s="7" t="s">
        <v>273</v>
      </c>
      <c r="C11" s="7" t="s">
        <v>274</v>
      </c>
      <c r="D11" s="11" t="s">
        <v>275</v>
      </c>
      <c r="E11" s="7" t="s">
        <v>276</v>
      </c>
    </row>
    <row r="12" spans="1:5" ht="47" customHeight="1">
      <c r="A12" s="7" t="s">
        <v>277</v>
      </c>
      <c r="B12" s="7" t="s">
        <v>278</v>
      </c>
      <c r="C12" s="7" t="s">
        <v>264</v>
      </c>
      <c r="D12" s="11" t="s">
        <v>279</v>
      </c>
      <c r="E12" s="7" t="s">
        <v>280</v>
      </c>
    </row>
    <row r="13" spans="1:5" ht="47" customHeight="1">
      <c r="A13" s="7" t="s">
        <v>281</v>
      </c>
      <c r="B13" s="7" t="s">
        <v>282</v>
      </c>
      <c r="C13" s="7" t="s">
        <v>283</v>
      </c>
      <c r="D13" s="11" t="s">
        <v>284</v>
      </c>
      <c r="E13" s="7" t="s">
        <v>285</v>
      </c>
    </row>
    <row r="14" spans="1:5" ht="47" customHeight="1">
      <c r="A14" s="7" t="s">
        <v>286</v>
      </c>
      <c r="B14" s="7" t="s">
        <v>287</v>
      </c>
      <c r="C14" s="7" t="s">
        <v>288</v>
      </c>
      <c r="D14" s="11" t="s">
        <v>289</v>
      </c>
      <c r="E14" s="7" t="s">
        <v>290</v>
      </c>
    </row>
    <row r="15" spans="1:5" ht="47" customHeight="1">
      <c r="A15" s="7" t="s">
        <v>291</v>
      </c>
      <c r="B15" s="7" t="s">
        <v>292</v>
      </c>
      <c r="C15" s="7" t="s">
        <v>288</v>
      </c>
      <c r="D15" s="11" t="s">
        <v>293</v>
      </c>
      <c r="E15" s="7" t="s">
        <v>294</v>
      </c>
    </row>
    <row r="16" spans="1:5" ht="47" customHeight="1">
      <c r="A16" s="7" t="s">
        <v>295</v>
      </c>
      <c r="B16" s="7" t="s">
        <v>296</v>
      </c>
      <c r="C16" s="7" t="s">
        <v>264</v>
      </c>
      <c r="D16" s="11" t="s">
        <v>297</v>
      </c>
      <c r="E16" s="7" t="s">
        <v>298</v>
      </c>
    </row>
    <row r="17" spans="1:5" ht="47" customHeight="1">
      <c r="A17" s="7" t="s">
        <v>299</v>
      </c>
      <c r="B17" s="7" t="s">
        <v>300</v>
      </c>
      <c r="C17" s="7" t="s">
        <v>301</v>
      </c>
      <c r="D17" s="11" t="s">
        <v>302</v>
      </c>
      <c r="E17" s="7" t="s">
        <v>303</v>
      </c>
    </row>
    <row r="18" spans="1:5" ht="47" customHeight="1">
      <c r="A18" s="7" t="s">
        <v>304</v>
      </c>
      <c r="B18" s="7" t="s">
        <v>305</v>
      </c>
      <c r="C18" s="7" t="s">
        <v>264</v>
      </c>
      <c r="D18" s="11" t="s">
        <v>306</v>
      </c>
      <c r="E18" s="7" t="s">
        <v>307</v>
      </c>
    </row>
    <row r="19" spans="1:5" ht="47" customHeight="1">
      <c r="A19" s="7" t="s">
        <v>308</v>
      </c>
      <c r="B19" s="7" t="s">
        <v>309</v>
      </c>
      <c r="C19" s="7" t="s">
        <v>310</v>
      </c>
      <c r="D19" s="11" t="s">
        <v>311</v>
      </c>
      <c r="E19" s="7" t="s">
        <v>312</v>
      </c>
    </row>
    <row r="20" spans="1:5" ht="47" customHeight="1">
      <c r="A20" s="7" t="s">
        <v>313</v>
      </c>
      <c r="B20" s="7" t="s">
        <v>314</v>
      </c>
      <c r="C20" s="7" t="s">
        <v>264</v>
      </c>
      <c r="D20" s="11" t="s">
        <v>315</v>
      </c>
      <c r="E20" s="7" t="s">
        <v>316</v>
      </c>
    </row>
    <row r="21" spans="1:5" ht="47" customHeight="1">
      <c r="A21" s="7" t="s">
        <v>317</v>
      </c>
      <c r="B21" s="7" t="s">
        <v>318</v>
      </c>
      <c r="C21" s="7" t="s">
        <v>264</v>
      </c>
      <c r="D21" s="11" t="s">
        <v>319</v>
      </c>
      <c r="E21" s="7" t="s">
        <v>320</v>
      </c>
    </row>
    <row r="22" spans="1:5" ht="47" customHeight="1">
      <c r="A22" s="7" t="s">
        <v>321</v>
      </c>
      <c r="B22" s="7" t="s">
        <v>322</v>
      </c>
      <c r="C22" s="7" t="s">
        <v>323</v>
      </c>
      <c r="D22" s="11" t="s">
        <v>324</v>
      </c>
      <c r="E22" s="7" t="s">
        <v>325</v>
      </c>
    </row>
    <row r="23" spans="1:5" ht="47" customHeight="1">
      <c r="A23" s="7" t="s">
        <v>326</v>
      </c>
      <c r="B23" s="7" t="s">
        <v>327</v>
      </c>
      <c r="C23" s="7" t="s">
        <v>328</v>
      </c>
      <c r="D23" s="11" t="s">
        <v>329</v>
      </c>
      <c r="E23" s="7" t="s">
        <v>330</v>
      </c>
    </row>
    <row r="24" spans="1:5" ht="47" customHeight="1">
      <c r="A24" s="7" t="s">
        <v>331</v>
      </c>
      <c r="B24" s="7" t="s">
        <v>332</v>
      </c>
      <c r="C24" s="7" t="s">
        <v>264</v>
      </c>
      <c r="D24" s="11" t="s">
        <v>333</v>
      </c>
      <c r="E24" s="7" t="s">
        <v>334</v>
      </c>
    </row>
    <row r="25" spans="1:5" ht="47" customHeight="1">
      <c r="A25" s="7" t="s">
        <v>335</v>
      </c>
      <c r="B25" s="7" t="s">
        <v>336</v>
      </c>
      <c r="C25" s="7" t="s">
        <v>264</v>
      </c>
      <c r="D25" s="11" t="s">
        <v>337</v>
      </c>
      <c r="E25" s="7" t="s">
        <v>338</v>
      </c>
    </row>
  </sheetData>
  <autoFilter ref="A5:E25"/>
  <mergeCells count="2">
    <mergeCell ref="A1:E1"/>
    <mergeCell ref="A2:E3"/>
  </mergeCells>
  <hyperlinks>
    <hyperlink ref="D6" r:id="rId1"/>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5" r:id="rId20"/>
  </hyperlinks>
  <pageMargins left="0.3" right="0.3" top="0.4" bottom="0.4" header="0.3" footer="0.3"/>
  <pageSetup paperSize="9" fitToHeight="0" orientation="landscape"/>
  <headerFooter>
    <oddFooter>&amp;LWB • GTIN • TN VED | Mẫu nội bộ&amp;C06/10/2026&amp;RTrang &amp;P / &amp;N</oddFooter>
  </headerFooter>
</worksheet>
</file>

<file path=xl/worksheets/sheet8.xml><?xml version="1.0" encoding="utf-8"?>
<worksheet xmlns="http://schemas.openxmlformats.org/spreadsheetml/2006/main" xmlns:r="http://schemas.openxmlformats.org/officeDocument/2006/relationships">
  <sheetPr>
    <tabColor rgb="FF087E8B"/>
    <pageSetUpPr fitToPage="1"/>
  </sheetPr>
  <dimension ref="A1:H16"/>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23.7109375" customWidth="1"/>
    <col min="2" max="3" width="22.7109375" customWidth="1"/>
    <col min="4" max="4" width="24.7109375" customWidth="1"/>
    <col min="5" max="5" width="36.7109375" customWidth="1"/>
    <col min="6" max="6" width="16.7109375" customWidth="1"/>
    <col min="7" max="7" width="28.7109375" customWidth="1"/>
    <col min="8" max="8" width="58.7109375" customWidth="1"/>
  </cols>
  <sheetData>
    <row r="1" spans="1:8" ht="34" customHeight="1">
      <c r="A1" s="1" t="s">
        <v>339</v>
      </c>
      <c r="B1" s="1"/>
      <c r="C1" s="1"/>
      <c r="D1" s="1"/>
      <c r="E1" s="1"/>
      <c r="F1" s="1"/>
      <c r="G1" s="1"/>
      <c r="H1" s="1"/>
    </row>
    <row r="2" spans="1:8" ht="25" customHeight="1">
      <c r="A2" s="2" t="s">
        <v>340</v>
      </c>
      <c r="B2" s="2"/>
      <c r="C2" s="2"/>
      <c r="D2" s="2"/>
      <c r="E2" s="2"/>
      <c r="F2" s="2"/>
      <c r="G2" s="2"/>
      <c r="H2" s="2"/>
    </row>
    <row r="3" spans="1:8" ht="25" customHeight="1">
      <c r="A3" s="2"/>
      <c r="B3" s="2"/>
      <c r="C3" s="2"/>
      <c r="D3" s="2"/>
      <c r="E3" s="2"/>
      <c r="F3" s="2"/>
      <c r="G3" s="2"/>
      <c r="H3" s="2"/>
    </row>
    <row r="5" spans="1:8" ht="62" customHeight="1">
      <c r="A5" s="6" t="s">
        <v>341</v>
      </c>
      <c r="B5" s="6" t="s">
        <v>342</v>
      </c>
      <c r="C5" s="6" t="s">
        <v>343</v>
      </c>
      <c r="D5" s="6" t="s">
        <v>344</v>
      </c>
      <c r="E5" s="6" t="s">
        <v>345</v>
      </c>
      <c r="F5" s="6" t="s">
        <v>346</v>
      </c>
      <c r="G5" s="6" t="s">
        <v>347</v>
      </c>
      <c r="H5" s="6" t="s">
        <v>348</v>
      </c>
    </row>
    <row r="6" spans="1:8" ht="52" customHeight="1">
      <c r="A6" s="7" t="s">
        <v>349</v>
      </c>
      <c r="B6" s="7" t="s">
        <v>350</v>
      </c>
      <c r="C6" s="7" t="s">
        <v>351</v>
      </c>
      <c r="D6" s="7" t="s">
        <v>352</v>
      </c>
      <c r="E6" s="7" t="s">
        <v>353</v>
      </c>
      <c r="F6" s="8">
        <v>10</v>
      </c>
      <c r="G6" s="8">
        <v>10</v>
      </c>
      <c r="H6" s="7" t="s">
        <v>354</v>
      </c>
    </row>
    <row r="7" spans="1:8" ht="52" customHeight="1">
      <c r="A7" s="7" t="s">
        <v>355</v>
      </c>
      <c r="B7" s="7" t="s">
        <v>350</v>
      </c>
      <c r="C7" s="7" t="s">
        <v>351</v>
      </c>
      <c r="D7" s="7" t="s">
        <v>356</v>
      </c>
      <c r="E7" s="7" t="s">
        <v>357</v>
      </c>
      <c r="F7" s="8">
        <v>10</v>
      </c>
      <c r="G7" s="8">
        <v>10</v>
      </c>
      <c r="H7" s="7" t="s">
        <v>354</v>
      </c>
    </row>
    <row r="8" spans="1:8" ht="52" customHeight="1">
      <c r="A8" s="7" t="s">
        <v>358</v>
      </c>
      <c r="B8" s="7" t="s">
        <v>350</v>
      </c>
      <c r="C8" s="7" t="s">
        <v>351</v>
      </c>
      <c r="D8" s="7" t="s">
        <v>359</v>
      </c>
      <c r="E8" s="7" t="s">
        <v>360</v>
      </c>
      <c r="F8" s="8">
        <v>10</v>
      </c>
      <c r="G8" s="8">
        <v>10</v>
      </c>
      <c r="H8" s="7" t="s">
        <v>354</v>
      </c>
    </row>
    <row r="9" spans="1:8" ht="52" customHeight="1">
      <c r="A9" s="7" t="s">
        <v>361</v>
      </c>
      <c r="B9" s="7" t="s">
        <v>350</v>
      </c>
      <c r="C9" s="7" t="s">
        <v>362</v>
      </c>
      <c r="D9" s="7" t="s">
        <v>352</v>
      </c>
      <c r="E9" s="7" t="s">
        <v>363</v>
      </c>
      <c r="F9" s="8">
        <v>10</v>
      </c>
      <c r="G9" s="8">
        <v>10</v>
      </c>
      <c r="H9" s="7" t="s">
        <v>354</v>
      </c>
    </row>
    <row r="10" spans="1:8" ht="52" customHeight="1">
      <c r="A10" s="7" t="s">
        <v>364</v>
      </c>
      <c r="B10" s="7" t="s">
        <v>350</v>
      </c>
      <c r="C10" s="7" t="s">
        <v>362</v>
      </c>
      <c r="D10" s="7" t="s">
        <v>356</v>
      </c>
      <c r="E10" s="7" t="s">
        <v>365</v>
      </c>
      <c r="F10" s="8">
        <v>10</v>
      </c>
      <c r="G10" s="8">
        <v>10</v>
      </c>
      <c r="H10" s="7" t="s">
        <v>354</v>
      </c>
    </row>
    <row r="11" spans="1:8" ht="52" customHeight="1">
      <c r="A11" s="7" t="s">
        <v>366</v>
      </c>
      <c r="B11" s="7" t="s">
        <v>350</v>
      </c>
      <c r="C11" s="7" t="s">
        <v>362</v>
      </c>
      <c r="D11" s="7" t="s">
        <v>359</v>
      </c>
      <c r="E11" s="7" t="s">
        <v>367</v>
      </c>
      <c r="F11" s="8">
        <v>10</v>
      </c>
      <c r="G11" s="8">
        <v>10</v>
      </c>
      <c r="H11" s="7" t="s">
        <v>354</v>
      </c>
    </row>
    <row r="12" spans="1:8" ht="32" customHeight="1">
      <c r="A12" s="6" t="s">
        <v>368</v>
      </c>
      <c r="B12" s="7"/>
      <c r="C12" s="7"/>
      <c r="D12" s="7"/>
      <c r="E12" s="6" t="s">
        <v>369</v>
      </c>
      <c r="F12" s="8">
        <f>SUM(F6:F11)</f>
        <v>60</v>
      </c>
      <c r="G12" s="8">
        <f>SUM(G6:G11)</f>
        <v>60</v>
      </c>
      <c r="H12" s="7" t="s">
        <v>370</v>
      </c>
    </row>
    <row r="14" spans="1:8">
      <c r="A14" s="2" t="s">
        <v>371</v>
      </c>
      <c r="B14" s="2"/>
      <c r="C14" s="2"/>
      <c r="D14" s="2"/>
      <c r="E14" s="2"/>
      <c r="F14" s="2"/>
      <c r="G14" s="2"/>
      <c r="H14" s="2"/>
    </row>
    <row r="15" spans="1:8">
      <c r="A15" s="2"/>
      <c r="B15" s="2"/>
      <c r="C15" s="2"/>
      <c r="D15" s="2"/>
      <c r="E15" s="2"/>
      <c r="F15" s="2"/>
      <c r="G15" s="2"/>
      <c r="H15" s="2"/>
    </row>
    <row r="16" spans="1:8">
      <c r="A16" s="2"/>
      <c r="B16" s="2"/>
      <c r="C16" s="2"/>
      <c r="D16" s="2"/>
      <c r="E16" s="2"/>
      <c r="F16" s="2"/>
      <c r="G16" s="2"/>
      <c r="H16" s="2"/>
    </row>
  </sheetData>
  <autoFilter ref="A5:H12"/>
  <mergeCells count="3">
    <mergeCell ref="A1:H1"/>
    <mergeCell ref="A2:H3"/>
    <mergeCell ref="A14:H16"/>
  </mergeCells>
  <pageMargins left="0.3" right="0.3" top="0.4" bottom="0.4" header="0.3" footer="0.3"/>
  <pageSetup paperSize="9" fitToHeight="0" orientation="landscape"/>
  <headerFooter>
    <oddFooter>&amp;LWB • GTIN • TN VED | Mẫu nội bộ&amp;C06/10/2026&amp;RTrang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HUONG_DAN</vt:lpstr>
      <vt:lpstr>SKU_GOC</vt:lpstr>
      <vt:lpstr>DOI_CHIEU</vt:lpstr>
      <vt:lpstr>CHUNG_TU</vt:lpstr>
      <vt:lpstr>MA_TUNG_CHIEC</vt:lpstr>
      <vt:lpstr>CHECKLIST</vt:lpstr>
      <vt:lpstr>NGUON</vt:lpstr>
      <vt:lpstr>VI_DU</vt:lpstr>
      <vt:lpstr>CHECKLIST!Print_Area</vt:lpstr>
      <vt:lpstr>CHUNG_TU!Print_Area</vt:lpstr>
      <vt:lpstr>DOI_CHIEU!Print_Area</vt:lpstr>
      <vt:lpstr>HUONG_DAN!Print_Area</vt:lpstr>
      <vt:lpstr>MA_TUNG_CHIEC!Print_Area</vt:lpstr>
      <vt:lpstr>NGUON!Print_Area</vt:lpstr>
      <vt:lpstr>SKU_GOC!Print_Area</vt:lpstr>
      <vt:lpstr>VI_DU!Print_Area</vt:lpstr>
      <vt:lpstr>CHECKLIST!Print_Titles</vt:lpstr>
      <vt:lpstr>CHUNG_TU!Print_Titles</vt:lpstr>
      <vt:lpstr>DOI_CHIEU!Print_Titles</vt:lpstr>
      <vt:lpstr>MA_TUNG_CHIEC!Print_Titles</vt:lpstr>
      <vt:lpstr>NGUON!Print_Titles</vt:lpstr>
      <vt:lpstr>SKU_GOC!Print_Titles</vt:lpstr>
      <vt:lpstr>VI_DU!Print_Titles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WB • GTIN • TN VED | Bộ kiểm tra hàng may mặc</dc:title>
  <dc:subject>Mẫu nội bộ đối chiếu Wildberries, GS1 và Честный ЗНАК</dc:subject>
  <dc:creator>ChatGPT</dc:creator>
  <dc:description>Cập nhật nguồn ngày 06/10/2026. Không phải mẫu tải lên trực tiếp.</dc:description>
  <cp:lastModifiedBy>ChatGPT</cp:lastModifiedBy>
  <dcterms:created xsi:type="dcterms:W3CDTF">2026-10-06T17:12:31Z</dcterms:created>
  <dcterms:modified xsi:type="dcterms:W3CDTF">2026-10-06T17:12:31Z</dcterms:modified>
</cp:coreProperties>
</file>